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Y:\Департамент микро, малого и средного бизнеса\MICROCREDIT\Управления по работе с филиалами\"/>
    </mc:Choice>
  </mc:AlternateContent>
  <xr:revisionPtr revIDLastSave="0" documentId="13_ncr:1_{E77C8BB8-A148-422A-84BB-97CCD784A603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Продуктовая линейка" sheetId="10" r:id="rId1"/>
    <sheet name="Шифры продуктов" sheetId="11" r:id="rId2"/>
    <sheet name="Остатки по линиям" sheetId="12" r:id="rId3"/>
  </sheets>
  <definedNames>
    <definedName name="_xlnm.Print_Area" localSheetId="0">'Продуктовая линейка'!$A$1:$AM$64</definedName>
  </definedNames>
  <calcPr calcId="179021"/>
</workbook>
</file>

<file path=xl/calcChain.xml><?xml version="1.0" encoding="utf-8"?>
<calcChain xmlns="http://schemas.openxmlformats.org/spreadsheetml/2006/main">
  <c r="J31" i="12" l="1"/>
  <c r="J30" i="12"/>
  <c r="J29" i="12"/>
  <c r="J28" i="12"/>
  <c r="J27" i="12"/>
  <c r="J26" i="12"/>
  <c r="J25" i="12"/>
  <c r="J24" i="12"/>
  <c r="J23" i="12"/>
  <c r="J22" i="12"/>
  <c r="J21" i="12"/>
  <c r="J20" i="12"/>
  <c r="J19" i="12"/>
  <c r="J18" i="12"/>
  <c r="J17" i="12"/>
  <c r="J16" i="12"/>
  <c r="J15" i="12"/>
  <c r="J14" i="12"/>
  <c r="J13" i="12"/>
  <c r="J12" i="12"/>
  <c r="J11" i="12"/>
  <c r="J10" i="12"/>
  <c r="J9" i="12"/>
  <c r="J8" i="12"/>
</calcChain>
</file>

<file path=xl/sharedStrings.xml><?xml version="1.0" encoding="utf-8"?>
<sst xmlns="http://schemas.openxmlformats.org/spreadsheetml/2006/main" count="1013" uniqueCount="377">
  <si>
    <t>Наименование кредитного продукта</t>
  </si>
  <si>
    <t>Срок кредита</t>
  </si>
  <si>
    <t>Оборотные средства</t>
  </si>
  <si>
    <t>Основные средства</t>
  </si>
  <si>
    <t>-</t>
  </si>
  <si>
    <t>Форма выдачи</t>
  </si>
  <si>
    <t>Наличными и перечислением</t>
  </si>
  <si>
    <t>Перечислением</t>
  </si>
  <si>
    <t>№</t>
  </si>
  <si>
    <t>Сумма кредита</t>
  </si>
  <si>
    <t xml:space="preserve">BUSINESS EXPRESS </t>
  </si>
  <si>
    <t>MMF_EXP</t>
  </si>
  <si>
    <t>MMF_ADB'</t>
  </si>
  <si>
    <t>MMF_100</t>
  </si>
  <si>
    <t>MMF_ADB</t>
  </si>
  <si>
    <t>ISHONCH</t>
  </si>
  <si>
    <t>Процентная ставка</t>
  </si>
  <si>
    <t>КРЕДИТЫ ДЛЯ РАЗВИТИЯ МАЛОГО БИЗНЕСА</t>
  </si>
  <si>
    <t>Кредитные средства выдаются на пополнение оборотных средств и увеличение основных средств. Кредитные средсва перечисляются в национальной  и иностранной валюте.</t>
  </si>
  <si>
    <t>Доверительные кредиты под залог страхового полиса или товаров в обороте.</t>
  </si>
  <si>
    <t>ILK QADAM</t>
  </si>
  <si>
    <t xml:space="preserve">Нецелевое использование </t>
  </si>
  <si>
    <t>UZS</t>
  </si>
  <si>
    <t>USD</t>
  </si>
  <si>
    <t>EUR</t>
  </si>
  <si>
    <t>Кредиты для развития бизнеса начинающих предпринимателей</t>
  </si>
  <si>
    <t>12 мес</t>
  </si>
  <si>
    <t>60 мес</t>
  </si>
  <si>
    <t>36 мес</t>
  </si>
  <si>
    <t>ISUZU</t>
  </si>
  <si>
    <t>сегмент Заемщика</t>
  </si>
  <si>
    <t>малый</t>
  </si>
  <si>
    <t>микро</t>
  </si>
  <si>
    <t>перечислением на расчетный счет</t>
  </si>
  <si>
    <t>КРЕДИТЫ НА ВЫПЛАТУ ЗАРПЛАТЫ</t>
  </si>
  <si>
    <t>перечислением</t>
  </si>
  <si>
    <t xml:space="preserve">до 200,0 млн.сум </t>
  </si>
  <si>
    <t>до 1,0 млн. доллар США        
(в экв. национ. валюты UZS)</t>
  </si>
  <si>
    <t>до 3 мес - 17%;
до 6 мес - 18%;
до 9 мес - 19%;
до 12 мес - 21%;
до 18 мес - 25%;
свыше 18 мес - 26%.</t>
  </si>
  <si>
    <t>до 12 мес - 12%;
до 18 мес - 13%;
свыше 18 мес - 14%.</t>
  </si>
  <si>
    <t>до 3 мес - 17%;
до 6 мес - 18%;
до 9 мес - 19%;
до 12 мес - 21%;
до 24 мес - 26%;
до 36 мес - 27%;
свыше 36 мес - 28%.</t>
  </si>
  <si>
    <t>до 12 мес - 13%;
до 36 мес - 14%;
свыше 36 мес - 15%.</t>
  </si>
  <si>
    <t>до 3 мес - 17%;
до 6 мес - 18%;
до 9 мес - 19%;
до 12 мес - 21%;
до 36 мес - 27%;
свыше 36 мес - 28%.</t>
  </si>
  <si>
    <t>до 36 мес - 14%;
свыше 36 мес - 15%.</t>
  </si>
  <si>
    <t>48 мес.</t>
  </si>
  <si>
    <t>Кредитные средства выдаются на приобретение автотранспортных средств марки ISUZU производство СП ООО "Самаркандский автомобильный завод".</t>
  </si>
  <si>
    <t>VOYAH</t>
  </si>
  <si>
    <t>Ид. продукта</t>
  </si>
  <si>
    <t>Название</t>
  </si>
  <si>
    <t>Тип продукта</t>
  </si>
  <si>
    <t>Ид. категории</t>
  </si>
  <si>
    <t>Название категориз.</t>
  </si>
  <si>
    <t>ANDR_USD</t>
  </si>
  <si>
    <t>EXPRESS MIKRO ВАЛЮТНЫЙ</t>
  </si>
  <si>
    <t>Финансовые услуги</t>
  </si>
  <si>
    <t>BFS_ORG_LOANI</t>
  </si>
  <si>
    <t>Кредиты за счет ин. капитала</t>
  </si>
  <si>
    <t>BXM</t>
  </si>
  <si>
    <t>Кредит ММФ за счет собственных средств</t>
  </si>
  <si>
    <t>BFS_ORG_LOANO</t>
  </si>
  <si>
    <t>Кредиты за счет собств. средств</t>
  </si>
  <si>
    <t>BXM_ADB'</t>
  </si>
  <si>
    <t>Кредит ММФ за счет линии АБР наличный</t>
  </si>
  <si>
    <t>BXM_BMF</t>
  </si>
  <si>
    <t>Кредит ММФ за счет линии BlueOrchard</t>
  </si>
  <si>
    <t>BXM_DKM</t>
  </si>
  <si>
    <t>Кредит ММФ за счет линии MIKROFINANZFOND</t>
  </si>
  <si>
    <t>BXM_EUR</t>
  </si>
  <si>
    <t>Кредит ММФ за счет собств.средств ЕВРО</t>
  </si>
  <si>
    <t>BXM_EXP</t>
  </si>
  <si>
    <t>BUSINESS EXPRESS</t>
  </si>
  <si>
    <t>BXM_SLF</t>
  </si>
  <si>
    <t>Кредит ММФ "Первый шаг" нац валюта</t>
  </si>
  <si>
    <t>BXM_SYMB</t>
  </si>
  <si>
    <t>Кредит ММФ за счет линии Symbiotics S.A</t>
  </si>
  <si>
    <t>BXM_USD</t>
  </si>
  <si>
    <t>Кредит ММФ за счет собств.средств ДОЛ</t>
  </si>
  <si>
    <t>BXM_WEFI</t>
  </si>
  <si>
    <t>Кредит ММФ "Женщина предприниматель"</t>
  </si>
  <si>
    <t>B_ADB2_US</t>
  </si>
  <si>
    <t>Кредит ММФ за счет линии АБР 2 фаза</t>
  </si>
  <si>
    <t>B_SLF_AVK</t>
  </si>
  <si>
    <t>Кредит ММФ "Первый шаг" (авто кредит)</t>
  </si>
  <si>
    <t>B_SLF_EUR</t>
  </si>
  <si>
    <t>Кредит ММФ "Первый шаг" иност валют ЕВРО</t>
  </si>
  <si>
    <t>B_SLF_USD</t>
  </si>
  <si>
    <t>Кредит ММФ "Первый шаг" иност валюта</t>
  </si>
  <si>
    <t>MGA_USD</t>
  </si>
  <si>
    <t>Валютный кредит ММФ в рамках ГС, АБР</t>
  </si>
  <si>
    <t>MG_USD</t>
  </si>
  <si>
    <t>Валют кредит ММФ в рамках ГС,собств. ср.</t>
  </si>
  <si>
    <t>MMF</t>
  </si>
  <si>
    <t>MMF'</t>
  </si>
  <si>
    <t>EXPRESS MIKRO 100</t>
  </si>
  <si>
    <t>MMF_200</t>
  </si>
  <si>
    <t>EXPRESS MIKRO 200</t>
  </si>
  <si>
    <t>MMF_200_USD</t>
  </si>
  <si>
    <t>EXPRESS MIKRO 200 Доллар</t>
  </si>
  <si>
    <t>MMF_50</t>
  </si>
  <si>
    <t>EXPRESS MIKRO 50</t>
  </si>
  <si>
    <t>Кредит ММФ за счет линии АБР</t>
  </si>
  <si>
    <t>MMF_ANDR</t>
  </si>
  <si>
    <t>EXPRESS MIKRO</t>
  </si>
  <si>
    <t>MMF_AVK</t>
  </si>
  <si>
    <t>Автокредит для спец ISUZU</t>
  </si>
  <si>
    <t>MMF_BIB</t>
  </si>
  <si>
    <t>Кредит ММФ за счет линии BIB</t>
  </si>
  <si>
    <t>MMF_BMF</t>
  </si>
  <si>
    <t>MMF_DEG</t>
  </si>
  <si>
    <t>Кредит ММФ за счет линии ДЕГ</t>
  </si>
  <si>
    <t>MMF_DKM</t>
  </si>
  <si>
    <t>MMF_EBRD</t>
  </si>
  <si>
    <t>Кредит ММФ за счет линии ЕБРР</t>
  </si>
  <si>
    <t>MMF_ECAR</t>
  </si>
  <si>
    <t>Кредит ММФ по продукту "Electro-Car"</t>
  </si>
  <si>
    <t>MMF_EUR</t>
  </si>
  <si>
    <t>MMF_FACT</t>
  </si>
  <si>
    <t>Факторинг - невозоб. ММСБ (нац. вал)</t>
  </si>
  <si>
    <t>MMF_FMO</t>
  </si>
  <si>
    <t>Кредит ММФ за счет линии ФМО</t>
  </si>
  <si>
    <t>MMF_FOTON</t>
  </si>
  <si>
    <t>Автокредит для спец FOTON</t>
  </si>
  <si>
    <t>MMF_GH</t>
  </si>
  <si>
    <t>Для приобретения хлопкового волокна</t>
  </si>
  <si>
    <t>BFS_ORG_GUARANT01</t>
  </si>
  <si>
    <t>Гарантия</t>
  </si>
  <si>
    <t>MMF_GIK</t>
  </si>
  <si>
    <t>Гарантия исполнения контракта</t>
  </si>
  <si>
    <t>MMF_GM</t>
  </si>
  <si>
    <t>Автокредит ММФ GM</t>
  </si>
  <si>
    <t>MMF_GREEN</t>
  </si>
  <si>
    <t>Кредит ММФ по продукту "GREEN ENERGY"</t>
  </si>
  <si>
    <t>MMF_GT</t>
  </si>
  <si>
    <t>Для участия в тендере</t>
  </si>
  <si>
    <t>MMF_GTS</t>
  </si>
  <si>
    <t>Для организации таможенного склада</t>
  </si>
  <si>
    <t>MMF_ICD</t>
  </si>
  <si>
    <t>Предоставление гарантии в пользу ИКРЧС</t>
  </si>
  <si>
    <t>MMF_IFC</t>
  </si>
  <si>
    <t>Кредит ММФ за счет линии МФК</t>
  </si>
  <si>
    <t>MMF_IGT</t>
  </si>
  <si>
    <t>Кредит по продукту INTER GREEN TECHNOLOY</t>
  </si>
  <si>
    <t>MMF_KFW</t>
  </si>
  <si>
    <t>Кредит ММФ за счет линии KFW</t>
  </si>
  <si>
    <t>MMF_KL</t>
  </si>
  <si>
    <t>Кредит - кредитная линия возобновляемая</t>
  </si>
  <si>
    <t>MMF_LS</t>
  </si>
  <si>
    <t>Лизинг Малого и микрофинансирования</t>
  </si>
  <si>
    <t>BFS_ORG_LEASING01</t>
  </si>
  <si>
    <t>Лизинг</t>
  </si>
  <si>
    <t>MMF_MAH</t>
  </si>
  <si>
    <t>Кредит ММФ по программе "Махалла"</t>
  </si>
  <si>
    <t>MMF_ONLINE</t>
  </si>
  <si>
    <t>Кредит - невозобновляемый (нац. валюта)</t>
  </si>
  <si>
    <t>MMF_PRPC</t>
  </si>
  <si>
    <t>Кредит ММФ за счет линии PROPARCO</t>
  </si>
  <si>
    <t>MMF_RESP</t>
  </si>
  <si>
    <t>Кредит ММФ за счет линии ResponsAbility</t>
  </si>
  <si>
    <t>MMF_SLF</t>
  </si>
  <si>
    <t>MMF_SYMB</t>
  </si>
  <si>
    <t>MMF_TIM</t>
  </si>
  <si>
    <t>Кредит ММФ за счет линии TRIODOS</t>
  </si>
  <si>
    <t>MMF_USD</t>
  </si>
  <si>
    <t>MMF_VISA</t>
  </si>
  <si>
    <t>PLATINUM MIKRO</t>
  </si>
  <si>
    <t>MMF_WEFI</t>
  </si>
  <si>
    <t>M_100_USD</t>
  </si>
  <si>
    <t>EXPRESS MIKRO 100 валютный</t>
  </si>
  <si>
    <t>M_312_100</t>
  </si>
  <si>
    <t>Кредит ММФ согласно ПП №312</t>
  </si>
  <si>
    <t>M_312_200</t>
  </si>
  <si>
    <t>M_ADB2_US</t>
  </si>
  <si>
    <t>M_ADB_USD</t>
  </si>
  <si>
    <t>Кредит ММФ за счет линии АБР 4 фаза</t>
  </si>
  <si>
    <t>M_BMF_US</t>
  </si>
  <si>
    <t>Кредит за счет линии BlueOrchard (вал)</t>
  </si>
  <si>
    <t>M_DKM_USD</t>
  </si>
  <si>
    <t>Кредит ММФ за счет MIKROFINANZFOND (USD)</t>
  </si>
  <si>
    <t>M_EBR_USD</t>
  </si>
  <si>
    <t>Кредит ММФ за счет линии ЕБРР Доллар</t>
  </si>
  <si>
    <t>M_EXP_USD</t>
  </si>
  <si>
    <t>BUSINESS EXPRESS Валютный</t>
  </si>
  <si>
    <t>M_FMO_USD</t>
  </si>
  <si>
    <t>Кредит ММФ за счет линии ФМО валютный</t>
  </si>
  <si>
    <t>M_IFC_USD</t>
  </si>
  <si>
    <t>Кредит ММФ за счет IFC (USD)</t>
  </si>
  <si>
    <t>M_KL_EUR</t>
  </si>
  <si>
    <t>M_KL_USD</t>
  </si>
  <si>
    <t>M_LS_USD</t>
  </si>
  <si>
    <t>Лизинг Малого и микрофинансир (валютный)</t>
  </si>
  <si>
    <t>M_OPC_USD</t>
  </si>
  <si>
    <t>Кредит ММФ за счет линии ОПЕК Доллар</t>
  </si>
  <si>
    <t>M_PRPC_US</t>
  </si>
  <si>
    <t>Кредит ММФ за счет линии PROPARCO (вал)</t>
  </si>
  <si>
    <t>M_RESP_US</t>
  </si>
  <si>
    <t>M_SLF_AVK</t>
  </si>
  <si>
    <t>M_SLF_EUR</t>
  </si>
  <si>
    <t>M_SLF_MAH</t>
  </si>
  <si>
    <t>Кредит ММФ СЗФЛ "Махалла"</t>
  </si>
  <si>
    <t>M_SLF_USD</t>
  </si>
  <si>
    <t>M_SL_DR</t>
  </si>
  <si>
    <t>Кредит СЗФЛ за счет собственных средств</t>
  </si>
  <si>
    <t>M_SL_GM</t>
  </si>
  <si>
    <t>Кредит ММФ GM (автокредит)</t>
  </si>
  <si>
    <t>M_SL_KR</t>
  </si>
  <si>
    <t>M_SMB_EUR</t>
  </si>
  <si>
    <t>Кредит ММФ за счет линии Symbiotics Евро</t>
  </si>
  <si>
    <t>M_SYMB_US</t>
  </si>
  <si>
    <t>Кредит ММФ за счет линии Symbiotics USD</t>
  </si>
  <si>
    <t>M_TRJP_US</t>
  </si>
  <si>
    <t>Кредит ММФ за счет линии TRJP валютный</t>
  </si>
  <si>
    <t>MMF_HAM</t>
  </si>
  <si>
    <t>MMF_TRM</t>
  </si>
  <si>
    <t>Автокредит Trend Motors</t>
  </si>
  <si>
    <t>MMF_RLS</t>
  </si>
  <si>
    <t>LIXIANG</t>
  </si>
  <si>
    <t>Кредитные средства выдаются на приобретение автотранспортных средств для субъектов предпринимательства, продаваемых дилерами ООО ««Control Auto» (ИНН: 309283171) и ООО «Vector Auto» (ИНН: 311629490);</t>
  </si>
  <si>
    <t>60 мес.</t>
  </si>
  <si>
    <t>Льготный период</t>
  </si>
  <si>
    <t>до 6 мес.</t>
  </si>
  <si>
    <t>При первоначальном взносе 30%:
до 12 месяцев — 12%
до 18 месяцев — 17%
до 24 месяцев — 18%
до 36 месяцев — 21%
до 48 месяцев — 22%
до 60 месяцев — 23%
При первоначальном взносе 40%:
до 12 месяцев — 10%
до 18 месяцев — 15%
до 24 месяцев — 17%
до 36 месяцев — 20%
до 48 месяцев — 21%
до 60 месяцев — 22%
При первоначальном взносе 50%:
до 12 месяцев — 7%
до 18 месяцев — 13%
до 24 месяцев — 16%
до 36 месяцев — 19%
до 48 месяцев — 20%
до 60 месяцев — 21%
При первоначальном взносе 60%:
до 12 месяцев — 2%
до 18 месяцев — 10%
до 24 месяцев — 13%
до 36 месяцев — 17%
до 48 месяцев — 19%
до 60 месяцев — 20%</t>
  </si>
  <si>
    <r>
      <t>Кредитные средства выдаются на приобретение автотранспортных средств марки</t>
    </r>
    <r>
      <rPr>
        <b/>
        <sz val="12"/>
        <color theme="1"/>
        <rFont val="Times New Roman"/>
        <family val="1"/>
        <charset val="204"/>
      </rPr>
      <t xml:space="preserve"> </t>
    </r>
    <r>
      <rPr>
        <sz val="12"/>
        <color theme="1"/>
        <rFont val="Times New Roman"/>
        <family val="1"/>
        <charset val="204"/>
      </rPr>
      <t>VOYAH от официального дилера  ООО "E-GO MOTORS".</t>
    </r>
  </si>
  <si>
    <t>FOTON</t>
  </si>
  <si>
    <t>до 1.000.000.000,00 (один миллиард) сум</t>
  </si>
  <si>
    <t>для импорта товаров – не ниже 13%.</t>
  </si>
  <si>
    <t>Приобретение основных средств (новое оборудование, транспортные средства, включая специальную технику, недвижимость) и/или пополнение оборотных средств, а также нецелевые кредиты для развития бизнеса;</t>
  </si>
  <si>
    <t>Первоначальный взнос — не ниже 25%
до 24 месяцев —  18%;
до 36 месяцев — 20%;
до 48 месяцев — 22%;
до 60 месяцев — 22%</t>
  </si>
  <si>
    <t>При первоначальном взносе от 30% —  25%.
При первоначальном взносе от 40% —  24%.</t>
  </si>
  <si>
    <t>MAHALLA LOYIHASI</t>
  </si>
  <si>
    <t>до 3 мес.</t>
  </si>
  <si>
    <t xml:space="preserve">не ниже 25% </t>
  </si>
  <si>
    <r>
      <t xml:space="preserve">Кредитные средства выдаются на пополнение оборотных средств и приобретение основных средств.                                                                   </t>
    </r>
    <r>
      <rPr>
        <b/>
        <sz val="12"/>
        <color theme="1"/>
        <rFont val="Times New Roman"/>
        <family val="1"/>
        <charset val="204"/>
      </rPr>
      <t>При условии финансирования I:</t>
    </r>
    <r>
      <rPr>
        <sz val="12"/>
        <color theme="1"/>
        <rFont val="Times New Roman"/>
        <family val="1"/>
        <charset val="204"/>
      </rPr>
      <t xml:space="preserve">Обеспечение:
• страховой полис от риска невозврата Кредита;
• поручительство финансово устойчивого лица
</t>
    </r>
    <r>
      <rPr>
        <b/>
        <sz val="12"/>
        <color theme="1"/>
        <rFont val="Times New Roman"/>
        <family val="1"/>
        <charset val="204"/>
      </rPr>
      <t>При условии финансирования II:</t>
    </r>
    <r>
      <rPr>
        <sz val="12"/>
        <color theme="1"/>
        <rFont val="Times New Roman"/>
        <family val="1"/>
        <charset val="204"/>
      </rPr>
      <t xml:space="preserve"> Обеспечение:
• автотранспортные средства: приобретаемое авто, а также легковой, грузовой транспорт или микроавтобусы;
• недвижимость: жилые и нежилые помещения;
• ценности: депозит денежных средств, ювелирные изделия или золотые мерные слитки и золотые монеты Центрального Банка Республики Узбекистан
При этом общая стоимость обеспечения не должна быть ниже 125% от суммы Кредита, один из или совокупно вышеперечисленные залоги.</t>
    </r>
  </si>
  <si>
    <t>Trend Motor</t>
  </si>
  <si>
    <t>до 100 000,0 (сто тысяч) долларов США  
(в экв. национ. валюты UZS)</t>
  </si>
  <si>
    <t>Первоначальный взнос — от 30%.
до 12 месяцев — 20%;
свыше 12 до 36 месяцев — 21%;
свыше 36 до 60 месяцев — 22%.</t>
  </si>
  <si>
    <t>«HAMROH» 
для женщин-предпринимателей</t>
  </si>
  <si>
    <t>24 мес</t>
  </si>
  <si>
    <t>84 мес</t>
  </si>
  <si>
    <r>
      <rPr>
        <b/>
        <sz val="12"/>
        <color theme="1"/>
        <rFont val="Times New Roman"/>
        <family val="1"/>
        <charset val="204"/>
      </rPr>
      <t>Условия финансирования I:</t>
    </r>
    <r>
      <rPr>
        <sz val="12"/>
        <color theme="1"/>
        <rFont val="Times New Roman"/>
        <family val="1"/>
        <charset val="204"/>
      </rPr>
      <t xml:space="preserve"> до 1000-кратного размера БРВ на один проект с условием создания не менее 2 рабочих мест;
</t>
    </r>
    <r>
      <rPr>
        <b/>
        <sz val="12"/>
        <color theme="1"/>
        <rFont val="Times New Roman"/>
        <family val="1"/>
        <charset val="204"/>
      </rPr>
      <t xml:space="preserve">Условия финансирования II: </t>
    </r>
    <r>
      <rPr>
        <sz val="12"/>
        <color theme="1"/>
        <rFont val="Times New Roman"/>
        <family val="1"/>
        <charset val="204"/>
      </rPr>
      <t xml:space="preserve"> до 4000-кратного размера БРВ на один проект с условием создания не менее 5 рабочих мест </t>
    </r>
  </si>
  <si>
    <t xml:space="preserve">Кредитные средства выдаются на развитие деятельности субъектов малого и среднего предпринимательства, управляемых женщинами, а также реализация женских предпринимательских инициатив. Все бизнес-проекты женщин-предпринимателей финансируются посредством подключения к онлайн-платформе hamroh.biznes-portal.uz, реализуемые в рамках Программы поддержки женщин-предпринимателей «ХАМРОХ». </t>
  </si>
  <si>
    <t>Изюминка продукта</t>
  </si>
  <si>
    <r>
      <rPr>
        <b/>
        <sz val="12"/>
        <color theme="1"/>
        <rFont val="Times New Roman"/>
        <family val="1"/>
        <charset val="204"/>
      </rPr>
      <t>1. Срок до 18 месяцев:</t>
    </r>
    <r>
      <rPr>
        <sz val="12"/>
        <color theme="1"/>
        <rFont val="Times New Roman"/>
        <family val="1"/>
        <charset val="204"/>
      </rPr>
      <t xml:space="preserve">
На приоб.основных средств:
при первоначальном взносе 30% — 19%;
при взносе 30–50% — 19,5%;
при взносе 50% и более — 20%.
Для пополнения оборотных средств — 20%.
</t>
    </r>
    <r>
      <rPr>
        <b/>
        <sz val="12"/>
        <color theme="1"/>
        <rFont val="Times New Roman"/>
        <family val="1"/>
        <charset val="204"/>
      </rPr>
      <t>2. Срок свыше 18 до 24 месяцев:</t>
    </r>
    <r>
      <rPr>
        <sz val="12"/>
        <color theme="1"/>
        <rFont val="Times New Roman"/>
        <family val="1"/>
        <charset val="204"/>
      </rPr>
      <t xml:space="preserve">
На приоб.основных средств:
при взносе до 30% — 22%;
при взносе 30–50% — 21,5%;
при взносе 50% и более — 21%.
Для пополнения оборотных средств — 21%.
</t>
    </r>
    <r>
      <rPr>
        <b/>
        <sz val="12"/>
        <color theme="1"/>
        <rFont val="Times New Roman"/>
        <family val="1"/>
        <charset val="204"/>
      </rPr>
      <t>3. Срок свыше 24 до 84 месяцев:</t>
    </r>
    <r>
      <rPr>
        <sz val="12"/>
        <color theme="1"/>
        <rFont val="Times New Roman"/>
        <family val="1"/>
        <charset val="204"/>
      </rPr>
      <t xml:space="preserve">
На приоб.основных средств:
при взносе до 30% — 23%;
при взносе 30–50% — 22,5%;
при взносе 50% и более — 22%.</t>
    </r>
  </si>
  <si>
    <r>
      <rPr>
        <b/>
        <sz val="12"/>
        <color theme="1"/>
        <rFont val="Times New Roman"/>
        <family val="1"/>
        <charset val="204"/>
      </rPr>
      <t>Кредиты на заработную плату не предоставляются:</t>
    </r>
    <r>
      <rPr>
        <sz val="12"/>
        <color theme="1"/>
        <rFont val="Times New Roman"/>
        <family val="1"/>
        <charset val="204"/>
      </rPr>
      <t xml:space="preserve">
-бюджетным организациям, органам по трудоустройству и занятости (биржи труда), фондам социального страхования, предприятиям, организациям Министерства обороны, Службе национальной безопасности, Министерству внутренних дел (кроме хозрасчетных), статистическим органам, научно-исследовательским институтам, выполняющим работы на 50 и более процентов за счет бюджетных средств и средств Государственного комитета по науке и технике, а также редакциям, театрам, филармонии, ансамблям и прочим организациям культуры, получающим из бюджета республики дотации в размере 50 и более процентов;
-фельдъегерской службе и службе специальной связи Агентства по почтам и телекоммуникациям Республики Узбекистан;
-консульствам, посольствам иностранных государств, представительствам иностранных фирм;
-предприятиям и организациям, на которые по решениям правительства выдача средств на заработную плату производится по нормативу;
-исправительно-трудовым учреждениям.</t>
    </r>
  </si>
  <si>
    <t>На выдачу зароботной платы сотрудникам Заемщика. В начисленную заработную плату включаются: сумма к выдаче, подоходный налог, взносы в Пенсионный фонд. в безналичной форме путем перечисления на транзитный счет 23106/23108/23110 Заемщика, открытый в АКИБ «Ипак Йули», для зачисления заработной платы и на счета казначейства для оплаты налогов по заработной плате</t>
  </si>
  <si>
    <t>Нецелевой кредит для развития бизнеса. удовлетворение потребностей клиентов в денежных средствах, в том числе для покупки сырья, покупки готовой продукции, оплаты работ и/или услуг и арендной платы, выплаты заработной платы сотрудникам, оплаты налогов, а также снятие наличных денежных средств с основного депозитного счета на прочие цели бизнеса, не запрещенные законодательством Республики Узбекистан</t>
  </si>
  <si>
    <t xml:space="preserve">                                                                            Список кредитных продуктов ММСБ департамента</t>
  </si>
  <si>
    <t>выдача автокредитов для индивидуальных предпринимателей и  юридическим лицам на приобретение всех моделей автотранспортных средств марки FOTON, реализуемых СП OOO «SAMIST AUTO» (ИНН: 310105037).</t>
  </si>
  <si>
    <t>При первоначальном взносе 0% — до 12 месяцев
30% — до 18 месяцев
40% — до 22 месяцев
50% — до 24 месяцев
60% — до 30 месяцев
65% — до 36 месяцев
70% — до 48 месяцев</t>
  </si>
  <si>
    <t>Перечислением на расчетный счет Продавца</t>
  </si>
  <si>
    <t>Кредитные средства на приобретение автотранспортных средств для субъектов предпринимательства, продаваемых дилерами ООО «TREND PREMIUM MOTORS» и ООО «ELIT AVTO ALLIANCE» (• Zeekr; • AION,     • AITO; • Leapmotor; • MG; • Voyah)</t>
  </si>
  <si>
    <r>
      <t xml:space="preserve">Обеспечение: </t>
    </r>
    <r>
      <rPr>
        <sz val="12"/>
        <color theme="1"/>
        <rFont val="Times New Roman"/>
        <family val="1"/>
        <charset val="204"/>
      </rPr>
      <t xml:space="preserve">
а.	Недвижимость, транспортные средства, денежные средства, ювелирные изделия, золотые мерные следки и золотые монеты Центрального Банка Республики Узбекистан.
При этом залоговая стоимость совокупности следующих предметов залога не должна быть ниже 70% в структуре обеспечения по Кредиту:
•	приобретаемая и другие виды недвижимости;
•	транспортные средства (легковые автомобили, спецтехника, грузовая техника, автобусы, микроавтобусы и другие транспортные средства);
•	заклад денежных средств;
•	ювелирные изделия, золотые мерные следки и золотые монеты Центрального Банка Республики Узбекистан.
б.	Оборудование (не более 30% в структуре обеспечения);
в.	Страховой полис от риска невозврата Кредита (не более 30% в структуре обеспечения);
г.	Товары в обороте (50% от себестоимости товара, но не более 30% в структуре обеспечения);
д.	Поручительство третьего лица, имеющего стабильные денежные потоки, устойчивое финансовое состояние (не более 30% в структуре обеспечения).
При этом общая стоимость обеспечения, перечисленного в пунктах б), в), г) и д) не должна превышать 30% в структуре обеспечения по Кредиту.</t>
    </r>
  </si>
  <si>
    <t xml:space="preserve">для пополнения оборотных средств –  до 6 месяцев;
для приобретения основных средств –  до 36 месяцев. </t>
  </si>
  <si>
    <t>Статус</t>
  </si>
  <si>
    <t>действующий</t>
  </si>
  <si>
    <t>заблокировать</t>
  </si>
  <si>
    <t>MMF_BOV</t>
  </si>
  <si>
    <t>Кредит ММФ Бизнес-овердрафт</t>
  </si>
  <si>
    <t>Кредит ММФ "Женщина предприниматель" HAM</t>
  </si>
  <si>
    <t>MMF_IK</t>
  </si>
  <si>
    <t>BUSINESS IPOTEKA нац валюта</t>
  </si>
  <si>
    <t>MMF_TL</t>
  </si>
  <si>
    <t>Планшетное кредитование</t>
  </si>
  <si>
    <t>MMF_VYH</t>
  </si>
  <si>
    <t>M_ADB5_US</t>
  </si>
  <si>
    <t>Кредит ММФ за счет линии АБР 5 фаза</t>
  </si>
  <si>
    <t>M_IK_USD</t>
  </si>
  <si>
    <t>BUSINESS IPOTEKA ин. валюта</t>
  </si>
  <si>
    <t>M_SLF_VYH</t>
  </si>
  <si>
    <t>открыть</t>
  </si>
  <si>
    <t>Кредит ММФ за счет линии DWM Asset managment</t>
  </si>
  <si>
    <t>Кредит ММФ за счет линии Japan International Cooperation Agency (JICA)</t>
  </si>
  <si>
    <t xml:space="preserve">Автокредит Lixiang </t>
  </si>
  <si>
    <t>M_AVK_LI</t>
  </si>
  <si>
    <t xml:space="preserve">Шифр в SAP </t>
  </si>
  <si>
    <t>BUSINESS IPOTEKA</t>
  </si>
  <si>
    <t>MMF_IK                                                                    M_IK_USD</t>
  </si>
  <si>
    <t>средний</t>
  </si>
  <si>
    <t>Кредитные средства выдаются на приобретение недвижимого имущества субъектами предпринимательства, в особенности сервисных объектов в промышленных зонах и других местах для ведения, расширения бизнеса и для служебного пользования;</t>
  </si>
  <si>
    <r>
      <t>•</t>
    </r>
    <r>
      <rPr>
        <b/>
        <sz val="12"/>
        <color theme="1"/>
        <rFont val="Times New Roman"/>
        <family val="1"/>
        <charset val="204"/>
      </rPr>
      <t xml:space="preserve"> для покупки нежилой недвижимости</t>
    </r>
    <r>
      <rPr>
        <sz val="12"/>
        <color theme="1"/>
        <rFont val="Times New Roman"/>
        <family val="1"/>
        <charset val="204"/>
      </rPr>
      <t xml:space="preserve"> до 1.000.000,00 доллар США или в эквиваленте национальной валюте;
•</t>
    </r>
    <r>
      <rPr>
        <b/>
        <sz val="12"/>
        <color theme="1"/>
        <rFont val="Times New Roman"/>
        <family val="1"/>
        <charset val="204"/>
      </rPr>
      <t xml:space="preserve"> для покупки жилой недвижимости</t>
    </r>
    <r>
      <rPr>
        <sz val="12"/>
        <color theme="1"/>
        <rFont val="Times New Roman"/>
        <family val="1"/>
        <charset val="204"/>
      </rPr>
      <t xml:space="preserve"> до 200.000,00 (двести тысяч) долларов США или в эквиваленте национальной валюте;
</t>
    </r>
  </si>
  <si>
    <r>
      <rPr>
        <b/>
        <sz val="12"/>
        <color theme="1"/>
        <rFont val="Times New Roman"/>
        <family val="1"/>
        <charset val="204"/>
      </rPr>
      <t>Условия финансирования I:</t>
    </r>
    <r>
      <rPr>
        <sz val="12"/>
        <color theme="1"/>
        <rFont val="Times New Roman"/>
        <family val="1"/>
        <charset val="204"/>
      </rPr>
      <t xml:space="preserve">
до 50 000 000,00 (пятидесяти миллионов) сум;                                       </t>
    </r>
    <r>
      <rPr>
        <b/>
        <sz val="12"/>
        <color theme="1"/>
        <rFont val="Times New Roman"/>
        <family val="1"/>
        <charset val="204"/>
      </rPr>
      <t>Условия финансирования II:</t>
    </r>
    <r>
      <rPr>
        <sz val="12"/>
        <color theme="1"/>
        <rFont val="Times New Roman"/>
        <family val="1"/>
        <charset val="204"/>
      </rPr>
      <t xml:space="preserve">
 до 3 000 000 000,00 (три миллиарда) сум</t>
    </r>
  </si>
  <si>
    <t>120 мес</t>
  </si>
  <si>
    <t>не ниже 25% годовых</t>
  </si>
  <si>
    <t>не ниже 14% годовых</t>
  </si>
  <si>
    <t>до 12 мес.</t>
  </si>
  <si>
    <t>Kichik va o’rta biznesni moliyaviy qo’llab-quvvatlash</t>
  </si>
  <si>
    <t xml:space="preserve">до 400 000,00 (четыреста тысяч) евро в сумовом эквиваленте </t>
  </si>
  <si>
    <t>до 12 месяцев - не ниже 24%;
свыше 12 месяцев – не ниже 25%</t>
  </si>
  <si>
    <r>
      <t xml:space="preserve">Цель Кредита – пополнение оборотных средств и приобретение основных средств. </t>
    </r>
    <r>
      <rPr>
        <b/>
        <sz val="12"/>
        <color theme="1"/>
        <rFont val="Times New Roman"/>
        <family val="1"/>
        <charset val="204"/>
      </rPr>
      <t>Особые условия:</t>
    </r>
    <r>
      <rPr>
        <sz val="12"/>
        <color theme="1"/>
        <rFont val="Times New Roman"/>
        <family val="1"/>
        <charset val="204"/>
      </rPr>
      <t xml:space="preserve">
• Соблюдение экологических и социальных требований в рамках программы "Финансовая поддержка малого и среднего бизнеса" KfW:
• Кредиты, классифицированные как проекты с высоким уровнем экологического и социального риска (категория А), не подлежат финансированию за счет кредитных средств;
• Кредиты, классифицированные как проекты среднего и низкого экологического и социального риска (категория B и С) должны соответствовать требованиям Стандартов деятельности IFC №1 и № 2;
• Кредиты на основные средства могут быть выданы на приобретение и/или реконструкцию основных средств (земля, недвижимость, транспортные средства, оборудование и другие материальные активы), которые непосредственно используются в бизнес-деятельности Заёмщика и не предназначены для дальнейшей перепродажи и личного пользования;
• Кредиты не могут быть классифицированы как выданные на смешанные цели (основные и оборотные средств) одновременно. Финансирование оборотных средств и основных средств должно предоставляться только в виде отдельных Кредитов. 
</t>
    </r>
  </si>
  <si>
    <t xml:space="preserve">до 100,0 млн.сум                                        (в экв. иностр. валюты USD) </t>
  </si>
  <si>
    <t>MMF_EXP                                       M_EXP_USD</t>
  </si>
  <si>
    <t>MMF_SLF           M_SLF_USD       M_SLF_EUR</t>
  </si>
  <si>
    <t>Онлайн кредит</t>
  </si>
  <si>
    <t xml:space="preserve">до 500,0 тыс. доллар США             
(в экв. национ. валюты UZS) </t>
  </si>
  <si>
    <t xml:space="preserve">• до 60 месяцев для кредитов на сумму до 500 000,0 долларов США 
• свыше 60 месяцев для кредитов до 200 000,0 долларов США </t>
  </si>
  <si>
    <t>путем зачисления денежных средств со ссудного счета на основной депозитный счет до востребования Заемщика, открытый в АИКБ «Ипак Йули»</t>
  </si>
  <si>
    <t>12 мес.</t>
  </si>
  <si>
    <t>Поддержка и развитие предпринимательской деятельности, а также удовлетворение потребностей Заемщиков в финансовых ресурсах. Кредит может быть предоставлен для закупки сырья, приобретения готовой продукции, оплаты работ/услуг, арендной платы, выплаты заработной платы сотрудникам, уплаты налогов и иных обязательных платежей, а также для снятия наличных денежных средств с основного депозитного счета для прочих целей бизнеса, не противоречащих законодательству Республики Узбекистан;</t>
  </si>
  <si>
    <r>
      <rPr>
        <b/>
        <sz val="12"/>
        <color theme="1"/>
        <rFont val="Times New Roman"/>
        <family val="1"/>
        <charset val="204"/>
      </rPr>
      <t>особое условие</t>
    </r>
    <r>
      <rPr>
        <sz val="12"/>
        <color theme="1"/>
        <rFont val="Times New Roman"/>
        <family val="1"/>
        <charset val="204"/>
      </rPr>
      <t xml:space="preserve"> – наличие основного депозитного счета до востребования Заемщика в АИКБ «Ипак Йули».</t>
    </r>
  </si>
  <si>
    <t xml:space="preserve">M_UN (сумовой)/ M_UN_VAL (валютный) </t>
  </si>
  <si>
    <t xml:space="preserve">В зависимости от выбранного Шифра источника финансирования (зарубежные банки, Другие зарубежные финансовые организации, Другие зарубежные финансовые организации МиМ КО) ниже будет отображаться соответсвующий список </t>
  </si>
  <si>
    <t>Универсальный продукт</t>
  </si>
  <si>
    <t>Дата обновления: 27.03.2026</t>
  </si>
  <si>
    <t xml:space="preserve">Цель Кредита </t>
  </si>
  <si>
    <t>Информация об остатках по кредитным линиям</t>
  </si>
  <si>
    <t>закрытые линии</t>
  </si>
  <si>
    <t>актуальные линии, зеленые справа (с выборкой)</t>
  </si>
  <si>
    <t>линия открыта, финансирование не начато</t>
  </si>
  <si>
    <t>Наименование линии</t>
  </si>
  <si>
    <t>Отдел</t>
  </si>
  <si>
    <t>Дата соглашения</t>
  </si>
  <si>
    <t>Сумма соглашения</t>
  </si>
  <si>
    <t>Полученная сумма</t>
  </si>
  <si>
    <t>Валюта</t>
  </si>
  <si>
    <t>Освоенная сумма</t>
  </si>
  <si>
    <t>Остаток</t>
  </si>
  <si>
    <t>Количество проектов</t>
  </si>
  <si>
    <t>Особые условия</t>
  </si>
  <si>
    <t>Доступные для освоения</t>
  </si>
  <si>
    <t>Symbiotics Sicav Asset Management</t>
  </si>
  <si>
    <t>Корп/Микро</t>
  </si>
  <si>
    <t>978</t>
  </si>
  <si>
    <t>Линия направлена на развитие ММСБ</t>
  </si>
  <si>
    <t>нет изменений</t>
  </si>
  <si>
    <t>Proparco</t>
  </si>
  <si>
    <t>Микро/Корп</t>
  </si>
  <si>
    <t>000</t>
  </si>
  <si>
    <t>МСБ годовой объем продаж составляет менее 15 000 000 долларов США в эквиваленте; общая сумма активов составляет менее эквивалент 15 000 000 долларов США; и в компании работает менее 300 сотрудников</t>
  </si>
  <si>
    <t>KfW</t>
  </si>
  <si>
    <t>Микро</t>
  </si>
  <si>
    <t>Ставка Рефин.ЦБ.РУз.</t>
  </si>
  <si>
    <t>Согласно паспорту продукта</t>
  </si>
  <si>
    <t>DWM Asset managment</t>
  </si>
  <si>
    <t>АБР</t>
  </si>
  <si>
    <t>840</t>
  </si>
  <si>
    <t xml:space="preserve"> На развитие ММСБ, юридическое местонахождение и основной бизнес которых находятся за пределами города Ташкент</t>
  </si>
  <si>
    <t xml:space="preserve">Для "Женское предпринимательство" за пределами города Ташкент. </t>
  </si>
  <si>
    <t>Для "Зеленая экономика" за пределами города Ташкент</t>
  </si>
  <si>
    <t xml:space="preserve"> На развитие ММСБ для г.Ташкент</t>
  </si>
  <si>
    <t>Для "Женское предпринимательство"г. Ташкент</t>
  </si>
  <si>
    <t>Для "Зеленая экономика"г.Ташкент</t>
  </si>
  <si>
    <t>OPEC</t>
  </si>
  <si>
    <t>SOFR+3,6%</t>
  </si>
  <si>
    <t>IFC (МФК)</t>
  </si>
  <si>
    <t>7,682% до 15.03.2024</t>
  </si>
  <si>
    <t>Сумма одного проекта не должно первышать
 1 000 000,00 долл.США или эквивалент в нацональной валюте.</t>
  </si>
  <si>
    <t>25% суммы соглашения должны направляться для развития "Женское предпринимательство" ММСБ. Сумма одного проекта не должно первышать
 1 000 000,00 долл.США или эквивалент в нацональной валюте.</t>
  </si>
  <si>
    <t>HANSAINVEST                                                         (IIV Mikrofinanzfonds)</t>
  </si>
  <si>
    <t>Корп/Микро               (Сумма одного проекта не должно превышать 30k USD)</t>
  </si>
  <si>
    <t>(Сумма одного проекта не должно превышать 30k USD)</t>
  </si>
  <si>
    <t xml:space="preserve">BlueOrchard Microfinfnce Fund </t>
  </si>
  <si>
    <t>Корп</t>
  </si>
  <si>
    <t>6 мес.Term SOFR+3,30%</t>
  </si>
  <si>
    <t>не имеет особых условий</t>
  </si>
  <si>
    <t>Голландский банк развития (FMO)</t>
  </si>
  <si>
    <t>1) Женщина-предприниматель-51% и больше доли юридического лица принадлежит женщине/нам или 30% доли и больше принадлежит женщине/нам-директор предприятия.                                                                                                   2) Молодой предприниматель- 51% и больше доли юридического лица принадлежит лицу моложе 35 лет или 30% доли и больше принадлежит лицу моложе 35 лет, то есть директору предприятия.                                                                                                                                         3) Допускается финансирование агропредприятий, то есть финансирование агро-проектов.
4) 25% кредитной линии должно быть использовано для финансирования проектов, направленных на повышение энергоэффективности (Зеленое финансирование).
5) До 10 000,00 долл.США или в эквиваленте для финансирование микро сегмента.
6) От 10 000,00 до 1 000 000,00 долл.США или в эквиваленте для финансирование малого и среднего сегмента.</t>
  </si>
  <si>
    <t>1) Женщина-предприниматель-51% и больше доли юридического лица принадлежит женщине/нам или 30% доли и больше принадлежит женщине/нам-директор предприятия.                                                                                                        2) Молодой предприниматель- 51% и больше доли юридического лица принадлежит лицу моложе 35 лет или 30% доли и больше принадлежит лицу моложе 35 лет, то есть директору предприятия.                                                                                                                                         3) Допускается финансирование агропредприятий, то есть финансирование агро-проектов.
4) 25% кредитной линии должно быть использовано для финансирования проектов, направленных на повышение энергоэффективности (Зеленое финансирование).
5) До 10 000,00 долл.США или в эквиваленте для финансирование микро сегмента.
6) От 10 000,00 до 1 000 000,00 долл.США или в эквиваленте для финансирование малого и среднего сегмента.</t>
  </si>
  <si>
    <t>ResponsAbility (Швейцария)</t>
  </si>
  <si>
    <t>6 мес.Term SOFR+3,4%</t>
  </si>
  <si>
    <t>NTB</t>
  </si>
  <si>
    <t xml:space="preserve">Микро/Розница                </t>
  </si>
  <si>
    <t>6 мес.Term SOFR+3,25%</t>
  </si>
  <si>
    <t xml:space="preserve">Monega Mikrofinanz &amp; Impact Fonds (DWM Assat management) </t>
  </si>
  <si>
    <t>Cardano Impact под управлеиием                       DWM Asset managment</t>
  </si>
  <si>
    <t>DWM Income Funds</t>
  </si>
  <si>
    <t>Enabling Qapital AG</t>
  </si>
  <si>
    <t>Volksvermorgen</t>
  </si>
  <si>
    <t>Incofin</t>
  </si>
  <si>
    <t>c 27.06.24 по 27.12.24 11,081%</t>
  </si>
  <si>
    <t>•	до 3 месяцев – 18% годовых;
•	до 6 месяцев – 19% годовых;
•	до 9 месяцев – 20% годовых;
•	до 12 месяцев – 21% годовых;
•	свыше 12 месяцев – не ниже 25% годовых.</t>
  </si>
  <si>
    <t>не ниже 14 %.</t>
  </si>
  <si>
    <t>Особые условия:
- При сроке Кредита свыше 36 месяцев в качестве обеспечения принимаются недвижимость, заклад денежных средств и/или ювелирные изделия, золотые мерные следки и золотые монеты Центрального Банка Республики Узбекистан.
- Для Кредитов, выдаваемых на пополнение основного депозитного счета до востребования и/или на пополнение корпоративной банковской карты Заемщика – обязательно наличие основного депозитного счета до востребования, а также корпоративного карточного счета Заёмщика в Филиале;</t>
  </si>
  <si>
    <t xml:space="preserve">•   перечисления на банковский счет или банковскую карту продавца;
•  путем конвертации кредитных средств в национальную валюту </t>
  </si>
  <si>
    <t>до 3 мес – не ниже 18%;
до 6 мес – не ниже 19%;
до 9 мес – не ниже 20%;
до 12 мес – не ниже 21%;
12-24 мес – не ниже 26%;
24-36 мес – не ниже 27%;
свыше 36 мес – не ниже 28%.</t>
  </si>
  <si>
    <t xml:space="preserve">до 12 мес – не ниже 13%;                  свыше 12 мес – не ниже 14%;
</t>
  </si>
  <si>
    <t>не ниже 22%</t>
  </si>
  <si>
    <t>разовый кредит - не более 3 мес;
револьверный кредит - не более 12 мес.</t>
  </si>
  <si>
    <t>48 мес.               В зависимости от % перв.взноса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</si>
</sst>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\ _₽_-;\-* #,##0.00\ _₽_-;_-* &quot;-&quot;??\ _₽_-;_-@_-"/>
    <numFmt numFmtId="164" formatCode="_-* #,##0\ _₽_-;\-* #,##0\ _₽_-;_-* &quot;-&quot;??\ _₽_-;_-@_-"/>
    <numFmt numFmtId="165" formatCode="_-* #,##0_-;\-* #,##0_-;_-* &quot;-&quot;_-;_-@_-"/>
  </numFmts>
  <fonts count="3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26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20"/>
      <color theme="1" tint="0.499984740745262"/>
      <name val="Times New Roman"/>
      <family val="1"/>
      <charset val="204"/>
    </font>
    <font>
      <sz val="12"/>
      <color theme="1"/>
      <name val="Arial"/>
      <family val="2"/>
      <charset val="204"/>
    </font>
    <font>
      <b/>
      <sz val="14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8"/>
      <color theme="1"/>
      <name val="Times New Roman"/>
      <family val="1"/>
      <charset val="204"/>
    </font>
    <font>
      <b/>
      <sz val="12"/>
      <color rgb="FFC00000"/>
      <name val="Times New Roman"/>
      <family val="1"/>
      <charset val="204"/>
    </font>
    <font>
      <sz val="11"/>
      <color theme="1"/>
      <name val="Arial"/>
      <family val="2"/>
      <charset val="204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7FFB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4B084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210">
    <xf numFmtId="0" fontId="0" fillId="0" borderId="0" xfId="0"/>
    <xf numFmtId="0" fontId="0" fillId="0" borderId="0" xfId="0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9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 wrapText="1"/>
    </xf>
    <xf numFmtId="164" fontId="18" fillId="0" borderId="0" xfId="42" applyNumberFormat="1" applyFont="1" applyBorder="1" applyAlignment="1">
      <alignment horizontal="center" vertical="center"/>
    </xf>
    <xf numFmtId="164" fontId="18" fillId="0" borderId="0" xfId="42" applyNumberFormat="1" applyFont="1" applyBorder="1" applyAlignment="1">
      <alignment horizontal="center" vertical="center" wrapText="1"/>
    </xf>
    <xf numFmtId="9" fontId="18" fillId="0" borderId="0" xfId="42" applyNumberFormat="1" applyFont="1" applyBorder="1" applyAlignment="1">
      <alignment horizontal="center" vertical="center"/>
    </xf>
    <xf numFmtId="9" fontId="18" fillId="0" borderId="0" xfId="0" applyNumberFormat="1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0" fillId="33" borderId="0" xfId="0" applyFill="1"/>
    <xf numFmtId="0" fontId="19" fillId="34" borderId="12" xfId="0" applyFont="1" applyFill="1" applyBorder="1" applyAlignment="1">
      <alignment horizontal="left" vertical="center" wrapText="1"/>
    </xf>
    <xf numFmtId="0" fontId="18" fillId="33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37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21" fillId="0" borderId="0" xfId="0" applyFont="1" applyBorder="1" applyAlignment="1">
      <alignment vertical="center"/>
    </xf>
    <xf numFmtId="0" fontId="18" fillId="0" borderId="1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9" fontId="20" fillId="0" borderId="10" xfId="42" applyNumberFormat="1" applyFont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0" fillId="38" borderId="10" xfId="0" applyFill="1" applyBorder="1" applyAlignment="1">
      <alignment horizontal="center" vertical="center"/>
    </xf>
    <xf numFmtId="9" fontId="18" fillId="0" borderId="21" xfId="0" applyNumberFormat="1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 wrapText="1"/>
    </xf>
    <xf numFmtId="9" fontId="18" fillId="0" borderId="10" xfId="0" applyNumberFormat="1" applyFont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/>
    </xf>
    <xf numFmtId="0" fontId="19" fillId="34" borderId="21" xfId="0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22" fillId="35" borderId="19" xfId="0" applyFont="1" applyFill="1" applyBorder="1" applyAlignment="1">
      <alignment horizontal="center" vertical="center" wrapText="1"/>
    </xf>
    <xf numFmtId="0" fontId="22" fillId="35" borderId="21" xfId="0" applyFont="1" applyFill="1" applyBorder="1" applyAlignment="1">
      <alignment horizontal="center" vertical="center" wrapText="1"/>
    </xf>
    <xf numFmtId="0" fontId="22" fillId="35" borderId="11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19" fillId="34" borderId="21" xfId="0" applyFont="1" applyFill="1" applyBorder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18" fillId="33" borderId="20" xfId="0" applyFont="1" applyFill="1" applyBorder="1" applyAlignment="1">
      <alignment horizontal="center" vertical="center" wrapText="1"/>
    </xf>
    <xf numFmtId="0" fontId="18" fillId="33" borderId="25" xfId="0" applyFont="1" applyFill="1" applyBorder="1" applyAlignment="1">
      <alignment horizontal="center" vertical="center" wrapText="1"/>
    </xf>
    <xf numFmtId="0" fontId="18" fillId="33" borderId="22" xfId="0" applyFont="1" applyFill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18" fillId="33" borderId="19" xfId="0" applyFont="1" applyFill="1" applyBorder="1" applyAlignment="1">
      <alignment horizontal="center" vertical="center" wrapText="1"/>
    </xf>
    <xf numFmtId="0" fontId="18" fillId="33" borderId="21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164" fontId="18" fillId="33" borderId="19" xfId="42" applyNumberFormat="1" applyFont="1" applyFill="1" applyBorder="1" applyAlignment="1">
      <alignment horizontal="center" vertical="center"/>
    </xf>
    <xf numFmtId="164" fontId="18" fillId="33" borderId="21" xfId="42" applyNumberFormat="1" applyFont="1" applyFill="1" applyBorder="1" applyAlignment="1">
      <alignment horizontal="center" vertical="center"/>
    </xf>
    <xf numFmtId="164" fontId="18" fillId="33" borderId="11" xfId="42" applyNumberFormat="1" applyFont="1" applyFill="1" applyBorder="1" applyAlignment="1">
      <alignment horizontal="center" vertical="center"/>
    </xf>
    <xf numFmtId="164" fontId="18" fillId="33" borderId="19" xfId="42" applyNumberFormat="1" applyFont="1" applyFill="1" applyBorder="1" applyAlignment="1">
      <alignment horizontal="center" vertical="center" wrapText="1"/>
    </xf>
    <xf numFmtId="164" fontId="18" fillId="33" borderId="21" xfId="42" applyNumberFormat="1" applyFont="1" applyFill="1" applyBorder="1" applyAlignment="1">
      <alignment horizontal="center" vertical="center" wrapText="1"/>
    </xf>
    <xf numFmtId="164" fontId="18" fillId="33" borderId="11" xfId="42" applyNumberFormat="1" applyFont="1" applyFill="1" applyBorder="1" applyAlignment="1">
      <alignment horizontal="center" vertical="center" wrapText="1"/>
    </xf>
    <xf numFmtId="9" fontId="18" fillId="33" borderId="19" xfId="42" applyNumberFormat="1" applyFont="1" applyFill="1" applyBorder="1" applyAlignment="1">
      <alignment horizontal="center" vertical="center" wrapText="1"/>
    </xf>
    <xf numFmtId="9" fontId="18" fillId="33" borderId="21" xfId="42" applyNumberFormat="1" applyFont="1" applyFill="1" applyBorder="1" applyAlignment="1">
      <alignment horizontal="center" vertical="center" wrapText="1"/>
    </xf>
    <xf numFmtId="9" fontId="18" fillId="33" borderId="11" xfId="42" applyNumberFormat="1" applyFont="1" applyFill="1" applyBorder="1" applyAlignment="1">
      <alignment horizontal="center" vertical="center" wrapText="1"/>
    </xf>
    <xf numFmtId="9" fontId="18" fillId="33" borderId="19" xfId="0" applyNumberFormat="1" applyFont="1" applyFill="1" applyBorder="1" applyAlignment="1">
      <alignment horizontal="center" vertical="center"/>
    </xf>
    <xf numFmtId="9" fontId="18" fillId="33" borderId="21" xfId="0" applyNumberFormat="1" applyFont="1" applyFill="1" applyBorder="1" applyAlignment="1">
      <alignment horizontal="center" vertical="center"/>
    </xf>
    <xf numFmtId="9" fontId="18" fillId="33" borderId="11" xfId="0" applyNumberFormat="1" applyFont="1" applyFill="1" applyBorder="1" applyAlignment="1">
      <alignment horizontal="center" vertical="center"/>
    </xf>
    <xf numFmtId="9" fontId="18" fillId="0" borderId="19" xfId="0" applyNumberFormat="1" applyFont="1" applyBorder="1" applyAlignment="1">
      <alignment horizontal="center" vertical="center"/>
    </xf>
    <xf numFmtId="9" fontId="18" fillId="0" borderId="21" xfId="0" applyNumberFormat="1" applyFont="1" applyBorder="1" applyAlignment="1">
      <alignment horizontal="center" vertical="center"/>
    </xf>
    <xf numFmtId="9" fontId="18" fillId="0" borderId="11" xfId="0" applyNumberFormat="1" applyFont="1" applyBorder="1" applyAlignment="1">
      <alignment horizontal="center" vertical="center"/>
    </xf>
    <xf numFmtId="9" fontId="18" fillId="33" borderId="19" xfId="0" applyNumberFormat="1" applyFont="1" applyFill="1" applyBorder="1" applyAlignment="1">
      <alignment horizontal="center" vertical="center" wrapText="1"/>
    </xf>
    <xf numFmtId="9" fontId="18" fillId="33" borderId="21" xfId="0" applyNumberFormat="1" applyFont="1" applyFill="1" applyBorder="1" applyAlignment="1">
      <alignment horizontal="center" vertical="center" wrapText="1"/>
    </xf>
    <xf numFmtId="9" fontId="18" fillId="33" borderId="11" xfId="0" applyNumberFormat="1" applyFont="1" applyFill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35" borderId="18" xfId="0" applyFont="1" applyFill="1" applyBorder="1" applyAlignment="1">
      <alignment horizontal="center" vertical="center"/>
    </xf>
    <xf numFmtId="0" fontId="19" fillId="35" borderId="23" xfId="0" applyFont="1" applyFill="1" applyBorder="1" applyAlignment="1">
      <alignment horizontal="center" vertical="center"/>
    </xf>
    <xf numFmtId="0" fontId="19" fillId="35" borderId="24" xfId="0" applyFont="1" applyFill="1" applyBorder="1" applyAlignment="1">
      <alignment horizontal="center" vertical="center"/>
    </xf>
    <xf numFmtId="164" fontId="18" fillId="0" borderId="19" xfId="42" applyNumberFormat="1" applyFont="1" applyBorder="1" applyAlignment="1">
      <alignment horizontal="center" vertical="center"/>
    </xf>
    <xf numFmtId="164" fontId="18" fillId="0" borderId="21" xfId="42" applyNumberFormat="1" applyFont="1" applyBorder="1" applyAlignment="1">
      <alignment horizontal="center" vertical="center"/>
    </xf>
    <xf numFmtId="164" fontId="18" fillId="0" borderId="11" xfId="42" applyNumberFormat="1" applyFont="1" applyBorder="1" applyAlignment="1">
      <alignment horizontal="center" vertical="center"/>
    </xf>
    <xf numFmtId="164" fontId="18" fillId="0" borderId="19" xfId="42" applyNumberFormat="1" applyFont="1" applyBorder="1" applyAlignment="1">
      <alignment horizontal="center" vertical="center" wrapText="1"/>
    </xf>
    <xf numFmtId="164" fontId="18" fillId="0" borderId="21" xfId="42" applyNumberFormat="1" applyFont="1" applyBorder="1" applyAlignment="1">
      <alignment horizontal="center" vertical="center" wrapText="1"/>
    </xf>
    <xf numFmtId="164" fontId="18" fillId="0" borderId="11" xfId="42" applyNumberFormat="1" applyFont="1" applyBorder="1" applyAlignment="1">
      <alignment horizontal="center" vertical="center" wrapText="1"/>
    </xf>
    <xf numFmtId="9" fontId="18" fillId="0" borderId="19" xfId="42" applyNumberFormat="1" applyFont="1" applyBorder="1" applyAlignment="1">
      <alignment horizontal="center" vertical="center" wrapText="1"/>
    </xf>
    <xf numFmtId="9" fontId="18" fillId="0" borderId="21" xfId="42" applyNumberFormat="1" applyFont="1" applyBorder="1" applyAlignment="1">
      <alignment horizontal="center" vertical="center" wrapText="1"/>
    </xf>
    <xf numFmtId="9" fontId="18" fillId="0" borderId="11" xfId="42" applyNumberFormat="1" applyFont="1" applyBorder="1" applyAlignment="1">
      <alignment horizontal="center" vertical="center" wrapText="1"/>
    </xf>
    <xf numFmtId="9" fontId="20" fillId="0" borderId="19" xfId="42" applyNumberFormat="1" applyFont="1" applyBorder="1" applyAlignment="1">
      <alignment horizontal="center" vertical="center" wrapText="1"/>
    </xf>
    <xf numFmtId="9" fontId="20" fillId="0" borderId="21" xfId="42" applyNumberFormat="1" applyFont="1" applyBorder="1" applyAlignment="1">
      <alignment horizontal="center" vertical="center" wrapText="1"/>
    </xf>
    <xf numFmtId="9" fontId="20" fillId="0" borderId="11" xfId="42" applyNumberFormat="1" applyFont="1" applyBorder="1" applyAlignment="1">
      <alignment horizontal="center" vertical="center" wrapText="1"/>
    </xf>
    <xf numFmtId="9" fontId="18" fillId="0" borderId="19" xfId="42" applyNumberFormat="1" applyFont="1" applyBorder="1" applyAlignment="1">
      <alignment horizontal="center" vertical="center"/>
    </xf>
    <xf numFmtId="9" fontId="18" fillId="0" borderId="21" xfId="42" applyNumberFormat="1" applyFont="1" applyBorder="1" applyAlignment="1">
      <alignment horizontal="center" vertical="center"/>
    </xf>
    <xf numFmtId="9" fontId="18" fillId="0" borderId="11" xfId="42" applyNumberFormat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9" fontId="18" fillId="0" borderId="26" xfId="0" applyNumberFormat="1" applyFont="1" applyBorder="1" applyAlignment="1">
      <alignment horizontal="center" vertical="center" wrapText="1"/>
    </xf>
    <xf numFmtId="9" fontId="18" fillId="0" borderId="27" xfId="0" applyNumberFormat="1" applyFont="1" applyBorder="1" applyAlignment="1">
      <alignment horizontal="center" vertical="center" wrapText="1"/>
    </xf>
    <xf numFmtId="9" fontId="18" fillId="0" borderId="19" xfId="0" applyNumberFormat="1" applyFont="1" applyBorder="1" applyAlignment="1">
      <alignment horizontal="center" vertical="center" wrapText="1"/>
    </xf>
    <xf numFmtId="9" fontId="18" fillId="0" borderId="21" xfId="0" applyNumberFormat="1" applyFont="1" applyBorder="1" applyAlignment="1">
      <alignment horizontal="center" vertical="center" wrapText="1"/>
    </xf>
    <xf numFmtId="9" fontId="18" fillId="0" borderId="11" xfId="0" applyNumberFormat="1" applyFont="1" applyBorder="1" applyAlignment="1">
      <alignment horizontal="center" vertical="center" wrapText="1"/>
    </xf>
    <xf numFmtId="0" fontId="19" fillId="34" borderId="28" xfId="0" applyFont="1" applyFill="1" applyBorder="1" applyAlignment="1">
      <alignment horizontal="center" vertical="center" wrapText="1"/>
    </xf>
    <xf numFmtId="0" fontId="19" fillId="34" borderId="24" xfId="0" applyFont="1" applyFill="1" applyBorder="1" applyAlignment="1">
      <alignment horizontal="center" vertical="center" wrapText="1"/>
    </xf>
    <xf numFmtId="0" fontId="19" fillId="34" borderId="13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/>
    </xf>
    <xf numFmtId="0" fontId="22" fillId="35" borderId="21" xfId="0" applyFont="1" applyFill="1" applyBorder="1" applyAlignment="1">
      <alignment horizontal="center" vertical="center"/>
    </xf>
    <xf numFmtId="0" fontId="22" fillId="35" borderId="11" xfId="0" applyFont="1" applyFill="1" applyBorder="1" applyAlignment="1">
      <alignment horizontal="center" vertical="center"/>
    </xf>
    <xf numFmtId="0" fontId="19" fillId="34" borderId="14" xfId="0" applyFont="1" applyFill="1" applyBorder="1" applyAlignment="1">
      <alignment horizontal="left" vertical="center" wrapText="1"/>
    </xf>
    <xf numFmtId="0" fontId="19" fillId="34" borderId="15" xfId="0" applyFont="1" applyFill="1" applyBorder="1" applyAlignment="1">
      <alignment horizontal="left" vertical="center" wrapText="1"/>
    </xf>
    <xf numFmtId="0" fontId="19" fillId="34" borderId="16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9" fillId="34" borderId="14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center" vertical="center"/>
    </xf>
    <xf numFmtId="0" fontId="19" fillId="34" borderId="16" xfId="0" applyFont="1" applyFill="1" applyBorder="1" applyAlignment="1">
      <alignment horizontal="center" vertical="center"/>
    </xf>
    <xf numFmtId="0" fontId="19" fillId="34" borderId="14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center" vertical="center" wrapText="1"/>
    </xf>
    <xf numFmtId="0" fontId="19" fillId="34" borderId="16" xfId="0" applyFont="1" applyFill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left" vertical="center" wrapText="1"/>
    </xf>
    <xf numFmtId="0" fontId="18" fillId="0" borderId="30" xfId="0" applyFont="1" applyBorder="1" applyAlignment="1">
      <alignment horizontal="left" vertical="center" wrapText="1"/>
    </xf>
    <xf numFmtId="0" fontId="18" fillId="0" borderId="31" xfId="0" applyFont="1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23" fillId="0" borderId="0" xfId="0" applyFont="1" applyBorder="1" applyAlignment="1">
      <alignment vertical="center"/>
    </xf>
    <xf numFmtId="0" fontId="0" fillId="0" borderId="0" xfId="0" applyAlignment="1">
      <alignment wrapText="1"/>
    </xf>
    <xf numFmtId="14" fontId="0" fillId="0" borderId="0" xfId="0" applyNumberFormat="1"/>
    <xf numFmtId="2" fontId="0" fillId="0" borderId="0" xfId="0" applyNumberFormat="1" applyAlignment="1">
      <alignment horizontal="center" vertical="center"/>
    </xf>
    <xf numFmtId="43" fontId="0" fillId="0" borderId="0" xfId="0" applyNumberFormat="1"/>
    <xf numFmtId="49" fontId="0" fillId="0" borderId="0" xfId="0" applyNumberFormat="1" applyAlignment="1">
      <alignment horizontal="center"/>
    </xf>
    <xf numFmtId="0" fontId="24" fillId="0" borderId="0" xfId="0" applyFont="1"/>
    <xf numFmtId="43" fontId="25" fillId="0" borderId="0" xfId="0" applyNumberFormat="1" applyFont="1"/>
    <xf numFmtId="0" fontId="26" fillId="39" borderId="10" xfId="0" applyFont="1" applyFill="1" applyBorder="1" applyAlignment="1">
      <alignment horizontal="center" vertical="center" wrapText="1"/>
    </xf>
    <xf numFmtId="0" fontId="25" fillId="0" borderId="10" xfId="0" applyFont="1" applyBorder="1"/>
    <xf numFmtId="0" fontId="16" fillId="0" borderId="32" xfId="0" applyFont="1" applyBorder="1" applyAlignment="1">
      <alignment horizontal="right"/>
    </xf>
    <xf numFmtId="43" fontId="16" fillId="0" borderId="33" xfId="42" applyFont="1" applyBorder="1" applyAlignment="1">
      <alignment horizontal="right"/>
    </xf>
    <xf numFmtId="0" fontId="19" fillId="40" borderId="10" xfId="0" applyFont="1" applyFill="1" applyBorder="1" applyAlignment="1">
      <alignment horizontal="center" vertical="center" wrapText="1"/>
    </xf>
    <xf numFmtId="0" fontId="25" fillId="0" borderId="10" xfId="0" applyFont="1" applyBorder="1" applyAlignment="1">
      <alignment horizontal="left"/>
    </xf>
    <xf numFmtId="0" fontId="16" fillId="0" borderId="0" xfId="0" applyFont="1" applyAlignment="1">
      <alignment horizontal="right"/>
    </xf>
    <xf numFmtId="0" fontId="19" fillId="0" borderId="10" xfId="0" applyFont="1" applyFill="1" applyBorder="1" applyAlignment="1">
      <alignment horizontal="center" vertical="center" wrapText="1"/>
    </xf>
    <xf numFmtId="14" fontId="27" fillId="0" borderId="0" xfId="0" applyNumberFormat="1" applyFont="1" applyAlignment="1">
      <alignment wrapText="1"/>
    </xf>
    <xf numFmtId="14" fontId="0" fillId="0" borderId="0" xfId="0" applyNumberFormat="1" applyAlignment="1">
      <alignment wrapText="1"/>
    </xf>
    <xf numFmtId="2" fontId="0" fillId="0" borderId="0" xfId="0" applyNumberFormat="1" applyAlignment="1">
      <alignment horizontal="center" vertical="center" wrapText="1"/>
    </xf>
    <xf numFmtId="43" fontId="0" fillId="0" borderId="0" xfId="0" applyNumberFormat="1" applyAlignment="1">
      <alignment wrapText="1"/>
    </xf>
    <xf numFmtId="49" fontId="0" fillId="0" borderId="0" xfId="0" applyNumberFormat="1" applyAlignment="1">
      <alignment horizontal="center" wrapText="1"/>
    </xf>
    <xf numFmtId="0" fontId="19" fillId="41" borderId="34" xfId="0" applyFont="1" applyFill="1" applyBorder="1" applyAlignment="1">
      <alignment horizontal="center" vertical="center" wrapText="1"/>
    </xf>
    <xf numFmtId="0" fontId="19" fillId="41" borderId="35" xfId="0" applyFont="1" applyFill="1" applyBorder="1" applyAlignment="1">
      <alignment horizontal="center" vertical="center" wrapText="1"/>
    </xf>
    <xf numFmtId="14" fontId="19" fillId="41" borderId="35" xfId="0" applyNumberFormat="1" applyFont="1" applyFill="1" applyBorder="1" applyAlignment="1">
      <alignment horizontal="center" vertical="center" wrapText="1"/>
    </xf>
    <xf numFmtId="2" fontId="19" fillId="41" borderId="35" xfId="0" applyNumberFormat="1" applyFont="1" applyFill="1" applyBorder="1" applyAlignment="1">
      <alignment horizontal="center" vertical="center" wrapText="1"/>
    </xf>
    <xf numFmtId="43" fontId="19" fillId="41" borderId="35" xfId="0" applyNumberFormat="1" applyFont="1" applyFill="1" applyBorder="1" applyAlignment="1">
      <alignment horizontal="center" vertical="center" wrapText="1"/>
    </xf>
    <xf numFmtId="49" fontId="19" fillId="41" borderId="35" xfId="0" applyNumberFormat="1" applyFont="1" applyFill="1" applyBorder="1" applyAlignment="1">
      <alignment horizontal="center" vertical="center" wrapText="1"/>
    </xf>
    <xf numFmtId="0" fontId="19" fillId="41" borderId="36" xfId="0" applyFont="1" applyFill="1" applyBorder="1" applyAlignment="1">
      <alignment horizontal="center" vertical="center" wrapText="1"/>
    </xf>
    <xf numFmtId="0" fontId="19" fillId="41" borderId="27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8" fillId="0" borderId="37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164" fontId="18" fillId="0" borderId="27" xfId="42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19" fillId="42" borderId="10" xfId="0" applyFont="1" applyFill="1" applyBorder="1" applyAlignment="1">
      <alignment horizontal="center" vertical="center" wrapText="1"/>
    </xf>
    <xf numFmtId="14" fontId="18" fillId="42" borderId="10" xfId="0" applyNumberFormat="1" applyFont="1" applyFill="1" applyBorder="1" applyAlignment="1">
      <alignment horizontal="center" vertical="center"/>
    </xf>
    <xf numFmtId="43" fontId="18" fillId="42" borderId="10" xfId="0" applyNumberFormat="1" applyFont="1" applyFill="1" applyBorder="1" applyAlignment="1">
      <alignment horizontal="center" vertical="center"/>
    </xf>
    <xf numFmtId="49" fontId="29" fillId="42" borderId="10" xfId="0" applyNumberFormat="1" applyFont="1" applyFill="1" applyBorder="1" applyAlignment="1">
      <alignment horizontal="center" vertical="center"/>
    </xf>
    <xf numFmtId="10" fontId="18" fillId="42" borderId="10" xfId="0" applyNumberFormat="1" applyFont="1" applyFill="1" applyBorder="1" applyAlignment="1">
      <alignment horizontal="center" vertical="center"/>
    </xf>
    <xf numFmtId="43" fontId="18" fillId="42" borderId="10" xfId="42" applyFont="1" applyFill="1" applyBorder="1" applyAlignment="1">
      <alignment horizontal="center" vertical="center"/>
    </xf>
    <xf numFmtId="4" fontId="18" fillId="42" borderId="10" xfId="0" applyNumberFormat="1" applyFont="1" applyFill="1" applyBorder="1" applyAlignment="1">
      <alignment horizontal="center" vertical="center"/>
    </xf>
    <xf numFmtId="164" fontId="18" fillId="42" borderId="10" xfId="42" applyNumberFormat="1" applyFont="1" applyFill="1" applyBorder="1" applyAlignment="1">
      <alignment horizontal="center" vertical="center"/>
    </xf>
    <xf numFmtId="165" fontId="18" fillId="43" borderId="10" xfId="42" applyNumberFormat="1" applyFont="1" applyFill="1" applyBorder="1" applyAlignment="1">
      <alignment horizontal="center" vertical="center" wrapText="1"/>
    </xf>
    <xf numFmtId="165" fontId="18" fillId="40" borderId="10" xfId="42" applyNumberFormat="1" applyFont="1" applyFill="1" applyBorder="1" applyAlignment="1">
      <alignment horizontal="center" vertical="center" wrapText="1"/>
    </xf>
    <xf numFmtId="0" fontId="0" fillId="0" borderId="0" xfId="0" applyFill="1"/>
    <xf numFmtId="0" fontId="19" fillId="43" borderId="10" xfId="0" applyFont="1" applyFill="1" applyBorder="1" applyAlignment="1">
      <alignment horizontal="center" vertical="center" wrapText="1"/>
    </xf>
    <xf numFmtId="10" fontId="18" fillId="44" borderId="10" xfId="0" applyNumberFormat="1" applyFont="1" applyFill="1" applyBorder="1" applyAlignment="1">
      <alignment horizontal="center" vertical="center"/>
    </xf>
    <xf numFmtId="0" fontId="19" fillId="45" borderId="10" xfId="0" applyFont="1" applyFill="1" applyBorder="1" applyAlignment="1">
      <alignment horizontal="center" vertical="center" wrapText="1"/>
    </xf>
    <xf numFmtId="14" fontId="18" fillId="45" borderId="10" xfId="0" applyNumberFormat="1" applyFont="1" applyFill="1" applyBorder="1" applyAlignment="1">
      <alignment horizontal="center" vertical="center"/>
    </xf>
    <xf numFmtId="43" fontId="18" fillId="45" borderId="10" xfId="0" applyNumberFormat="1" applyFont="1" applyFill="1" applyBorder="1" applyAlignment="1">
      <alignment horizontal="center" vertical="center"/>
    </xf>
    <xf numFmtId="49" fontId="29" fillId="45" borderId="10" xfId="0" applyNumberFormat="1" applyFont="1" applyFill="1" applyBorder="1" applyAlignment="1">
      <alignment horizontal="center" vertical="center"/>
    </xf>
    <xf numFmtId="10" fontId="18" fillId="45" borderId="10" xfId="0" applyNumberFormat="1" applyFont="1" applyFill="1" applyBorder="1" applyAlignment="1">
      <alignment horizontal="center" vertical="center"/>
    </xf>
    <xf numFmtId="4" fontId="18" fillId="45" borderId="10" xfId="0" applyNumberFormat="1" applyFont="1" applyFill="1" applyBorder="1" applyAlignment="1">
      <alignment horizontal="center" vertical="center"/>
    </xf>
    <xf numFmtId="164" fontId="18" fillId="45" borderId="10" xfId="42" applyNumberFormat="1" applyFont="1" applyFill="1" applyBorder="1" applyAlignment="1">
      <alignment horizontal="center" vertical="center"/>
    </xf>
    <xf numFmtId="165" fontId="18" fillId="45" borderId="10" xfId="42" applyNumberFormat="1" applyFont="1" applyFill="1" applyBorder="1" applyAlignment="1">
      <alignment horizontal="center" vertical="center" wrapText="1"/>
    </xf>
    <xf numFmtId="0" fontId="30" fillId="0" borderId="0" xfId="0" applyFont="1" applyAlignment="1">
      <alignment wrapText="1"/>
    </xf>
    <xf numFmtId="14" fontId="18" fillId="0" borderId="10" xfId="0" applyNumberFormat="1" applyFont="1" applyFill="1" applyBorder="1" applyAlignment="1">
      <alignment horizontal="center" vertical="center"/>
    </xf>
    <xf numFmtId="43" fontId="18" fillId="0" borderId="10" xfId="0" applyNumberFormat="1" applyFont="1" applyFill="1" applyBorder="1" applyAlignment="1">
      <alignment horizontal="center" vertical="center"/>
    </xf>
    <xf numFmtId="49" fontId="18" fillId="0" borderId="10" xfId="0" applyNumberFormat="1" applyFont="1" applyBorder="1" applyAlignment="1">
      <alignment horizontal="center" vertical="center"/>
    </xf>
    <xf numFmtId="10" fontId="18" fillId="0" borderId="10" xfId="0" applyNumberFormat="1" applyFont="1" applyFill="1" applyBorder="1" applyAlignment="1">
      <alignment horizontal="center" vertical="center"/>
    </xf>
    <xf numFmtId="4" fontId="18" fillId="0" borderId="10" xfId="0" applyNumberFormat="1" applyFont="1" applyFill="1" applyBorder="1" applyAlignment="1">
      <alignment horizontal="center" vertical="center"/>
    </xf>
    <xf numFmtId="43" fontId="18" fillId="0" borderId="10" xfId="42" applyFont="1" applyFill="1" applyBorder="1" applyAlignment="1">
      <alignment horizontal="center" vertical="center"/>
    </xf>
    <xf numFmtId="0" fontId="19" fillId="38" borderId="10" xfId="0" applyFont="1" applyFill="1" applyBorder="1" applyAlignment="1">
      <alignment horizontal="center" vertical="center" wrapText="1"/>
    </xf>
    <xf numFmtId="164" fontId="18" fillId="0" borderId="10" xfId="42" applyNumberFormat="1" applyFont="1" applyFill="1" applyBorder="1" applyAlignment="1">
      <alignment horizontal="center" vertical="center"/>
    </xf>
    <xf numFmtId="165" fontId="18" fillId="0" borderId="10" xfId="42" applyNumberFormat="1" applyFont="1" applyFill="1" applyBorder="1" applyAlignment="1">
      <alignment horizontal="center" vertical="center" wrapText="1"/>
    </xf>
    <xf numFmtId="0" fontId="19" fillId="44" borderId="10" xfId="0" applyFont="1" applyFill="1" applyBorder="1" applyAlignment="1">
      <alignment horizontal="center" vertical="center" wrapText="1"/>
    </xf>
    <xf numFmtId="14" fontId="18" fillId="44" borderId="10" xfId="0" applyNumberFormat="1" applyFont="1" applyFill="1" applyBorder="1" applyAlignment="1">
      <alignment horizontal="center" vertical="center"/>
    </xf>
    <xf numFmtId="43" fontId="18" fillId="44" borderId="10" xfId="0" applyNumberFormat="1" applyFont="1" applyFill="1" applyBorder="1" applyAlignment="1">
      <alignment horizontal="center" vertical="center"/>
    </xf>
    <xf numFmtId="4" fontId="18" fillId="44" borderId="10" xfId="0" applyNumberFormat="1" applyFont="1" applyFill="1" applyBorder="1" applyAlignment="1">
      <alignment horizontal="center" vertical="center"/>
    </xf>
    <xf numFmtId="164" fontId="18" fillId="44" borderId="10" xfId="42" applyNumberFormat="1" applyFont="1" applyFill="1" applyBorder="1" applyAlignment="1">
      <alignment horizontal="center" vertical="center"/>
    </xf>
    <xf numFmtId="0" fontId="24" fillId="43" borderId="10" xfId="0" applyFont="1" applyFill="1" applyBorder="1" applyAlignment="1">
      <alignment horizontal="center" vertical="center" wrapText="1"/>
    </xf>
    <xf numFmtId="0" fontId="24" fillId="0" borderId="10" xfId="0" applyFont="1" applyFill="1" applyBorder="1" applyAlignment="1">
      <alignment horizontal="center" vertical="center" wrapText="1"/>
    </xf>
    <xf numFmtId="0" fontId="24" fillId="45" borderId="10" xfId="0" applyFont="1" applyFill="1" applyBorder="1" applyAlignment="1">
      <alignment horizontal="center" vertical="center" wrapText="1"/>
    </xf>
    <xf numFmtId="164" fontId="18" fillId="45" borderId="27" xfId="42" applyNumberFormat="1" applyFont="1" applyFill="1" applyBorder="1" applyAlignment="1">
      <alignment horizontal="center" vertical="center"/>
    </xf>
    <xf numFmtId="0" fontId="0" fillId="45" borderId="0" xfId="0" applyFill="1"/>
    <xf numFmtId="0" fontId="19" fillId="0" borderId="19" xfId="0" applyFont="1" applyFill="1" applyBorder="1" applyAlignment="1">
      <alignment horizontal="center" vertical="center" wrapText="1"/>
    </xf>
    <xf numFmtId="14" fontId="18" fillId="0" borderId="19" xfId="0" applyNumberFormat="1" applyFont="1" applyFill="1" applyBorder="1" applyAlignment="1">
      <alignment horizontal="center" vertical="center"/>
    </xf>
    <xf numFmtId="43" fontId="18" fillId="0" borderId="19" xfId="0" applyNumberFormat="1" applyFont="1" applyFill="1" applyBorder="1" applyAlignment="1">
      <alignment vertical="center"/>
    </xf>
    <xf numFmtId="49" fontId="18" fillId="0" borderId="11" xfId="0" applyNumberFormat="1" applyFont="1" applyBorder="1" applyAlignment="1">
      <alignment horizontal="center" vertical="center"/>
    </xf>
    <xf numFmtId="10" fontId="18" fillId="0" borderId="19" xfId="0" applyNumberFormat="1" applyFont="1" applyFill="1" applyBorder="1" applyAlignment="1">
      <alignment horizontal="center" vertical="center"/>
    </xf>
    <xf numFmtId="4" fontId="18" fillId="0" borderId="19" xfId="0" applyNumberFormat="1" applyFont="1" applyFill="1" applyBorder="1" applyAlignment="1">
      <alignment horizontal="center" vertical="center"/>
    </xf>
    <xf numFmtId="43" fontId="18" fillId="0" borderId="10" xfId="42" applyFont="1" applyFill="1" applyBorder="1" applyAlignment="1">
      <alignment vertical="center"/>
    </xf>
    <xf numFmtId="49" fontId="18" fillId="0" borderId="11" xfId="0" applyNumberFormat="1" applyFont="1" applyFill="1" applyBorder="1" applyAlignment="1">
      <alignment horizontal="center" vertical="center"/>
    </xf>
    <xf numFmtId="0" fontId="19" fillId="0" borderId="19" xfId="0" applyFont="1" applyFill="1" applyBorder="1" applyAlignment="1">
      <alignment horizontal="center" vertical="center"/>
    </xf>
    <xf numFmtId="43" fontId="18" fillId="0" borderId="10" xfId="0" applyNumberFormat="1" applyFont="1" applyFill="1" applyBorder="1" applyAlignment="1">
      <alignment vertical="center"/>
    </xf>
    <xf numFmtId="10" fontId="18" fillId="0" borderId="10" xfId="0" applyNumberFormat="1" applyFont="1" applyFill="1" applyBorder="1" applyAlignment="1">
      <alignment horizontal="center" vertical="center" wrapText="1"/>
    </xf>
    <xf numFmtId="164" fontId="18" fillId="0" borderId="40" xfId="42" applyNumberFormat="1" applyFont="1" applyFill="1" applyBorder="1" applyAlignment="1">
      <alignment horizontal="center" vertical="center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Финансовый" xfId="42" builtinId="3"/>
    <cellStyle name="Хороший" xfId="6" builtinId="26" customBuiltin="1"/>
  </cellStyles>
  <dxfs count="0"/>
  <tableStyles count="0" defaultTableStyle="TableStyleMedium2" defaultPivotStyle="PivotStyleLight16"/>
  <colors>
    <mruColors>
      <color rgb="FFB7FFB7"/>
      <color rgb="FF006600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166232</xdr:colOff>
      <xdr:row>2</xdr:row>
      <xdr:rowOff>242353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8176" t="35608" r="18952" b="36042"/>
        <a:stretch/>
      </xdr:blipFill>
      <xdr:spPr>
        <a:xfrm>
          <a:off x="0" y="0"/>
          <a:ext cx="3184266" cy="7988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53"/>
  <sheetViews>
    <sheetView tabSelected="1" topLeftCell="B46" zoomScale="89" zoomScaleNormal="89" zoomScaleSheetLayoutView="89" workbookViewId="0">
      <selection activeCell="J40" sqref="J40:J42"/>
    </sheetView>
  </sheetViews>
  <sheetFormatPr defaultRowHeight="15" x14ac:dyDescent="0.25"/>
  <cols>
    <col min="1" max="1" width="3.42578125" customWidth="1"/>
    <col min="2" max="2" width="4.42578125" style="1" customWidth="1"/>
    <col min="3" max="3" width="21.42578125" customWidth="1"/>
    <col min="4" max="4" width="15.85546875" customWidth="1"/>
    <col min="5" max="5" width="12.5703125" customWidth="1"/>
    <col min="6" max="6" width="22.42578125" customWidth="1"/>
    <col min="7" max="7" width="36" customWidth="1"/>
    <col min="8" max="8" width="17.42578125" customWidth="1"/>
    <col min="9" max="9" width="15.5703125" style="26" customWidth="1"/>
    <col min="10" max="10" width="24.140625" style="26" customWidth="1"/>
    <col min="11" max="11" width="43.28515625" customWidth="1"/>
    <col min="12" max="12" width="30.28515625" customWidth="1"/>
    <col min="13" max="13" width="14.140625" customWidth="1"/>
    <col min="14" max="14" width="19.140625" customWidth="1"/>
    <col min="15" max="15" width="64.5703125" style="26" customWidth="1"/>
    <col min="16" max="16" width="62.42578125" customWidth="1"/>
  </cols>
  <sheetData>
    <row r="1" spans="1:58" s="22" customFormat="1" ht="28.5" customHeight="1" x14ac:dyDescent="0.25">
      <c r="A1" s="22" t="s">
        <v>245</v>
      </c>
      <c r="M1" s="122" t="s">
        <v>301</v>
      </c>
    </row>
    <row r="2" spans="1:58" s="22" customFormat="1" ht="15" customHeight="1" x14ac:dyDescent="0.25"/>
    <row r="3" spans="1:58" s="22" customFormat="1" ht="33" customHeight="1" x14ac:dyDescent="0.25"/>
    <row r="4" spans="1:58" ht="18" customHeight="1" thickBot="1" x14ac:dyDescent="0.3"/>
    <row r="5" spans="1:58" ht="37.5" customHeight="1" x14ac:dyDescent="0.25">
      <c r="B5" s="98" t="s">
        <v>8</v>
      </c>
      <c r="C5" s="100" t="s">
        <v>0</v>
      </c>
      <c r="D5" s="100" t="s">
        <v>273</v>
      </c>
      <c r="E5" s="100" t="s">
        <v>30</v>
      </c>
      <c r="F5" s="100" t="s">
        <v>5</v>
      </c>
      <c r="G5" s="100" t="s">
        <v>9</v>
      </c>
      <c r="H5" s="108" t="s">
        <v>1</v>
      </c>
      <c r="I5" s="109"/>
      <c r="J5" s="110"/>
      <c r="K5" s="111" t="s">
        <v>16</v>
      </c>
      <c r="L5" s="112"/>
      <c r="M5" s="113"/>
      <c r="N5" s="100" t="s">
        <v>218</v>
      </c>
      <c r="O5" s="100" t="s">
        <v>302</v>
      </c>
      <c r="P5" s="100" t="s">
        <v>240</v>
      </c>
      <c r="AX5" s="107"/>
      <c r="AY5" s="107"/>
      <c r="AZ5" s="107"/>
      <c r="BA5" s="107"/>
      <c r="BB5" s="107"/>
      <c r="BC5" s="107"/>
      <c r="BD5" s="107"/>
      <c r="BE5" s="107"/>
      <c r="BF5" s="107"/>
    </row>
    <row r="6" spans="1:58" ht="42" customHeight="1" x14ac:dyDescent="0.25">
      <c r="B6" s="99"/>
      <c r="C6" s="41"/>
      <c r="D6" s="41"/>
      <c r="E6" s="41"/>
      <c r="F6" s="41"/>
      <c r="G6" s="41"/>
      <c r="H6" s="28" t="s">
        <v>2</v>
      </c>
      <c r="I6" s="28" t="s">
        <v>3</v>
      </c>
      <c r="J6" s="28" t="s">
        <v>21</v>
      </c>
      <c r="K6" s="28" t="s">
        <v>22</v>
      </c>
      <c r="L6" s="28" t="s">
        <v>23</v>
      </c>
      <c r="M6" s="28" t="s">
        <v>24</v>
      </c>
      <c r="N6" s="41"/>
      <c r="O6" s="41"/>
      <c r="P6" s="41"/>
    </row>
    <row r="7" spans="1:58" ht="35.25" customHeight="1" x14ac:dyDescent="0.25">
      <c r="B7" s="72">
        <v>1</v>
      </c>
      <c r="C7" s="101" t="s">
        <v>15</v>
      </c>
      <c r="D7" s="33" t="s">
        <v>13</v>
      </c>
      <c r="E7" s="4" t="s">
        <v>276</v>
      </c>
      <c r="F7" s="24" t="s">
        <v>35</v>
      </c>
      <c r="G7" s="69" t="s">
        <v>288</v>
      </c>
      <c r="H7" s="75" t="s">
        <v>26</v>
      </c>
      <c r="I7" s="75" t="s">
        <v>26</v>
      </c>
      <c r="J7" s="75" t="s">
        <v>4</v>
      </c>
      <c r="K7" s="87">
        <v>0.28000000000000003</v>
      </c>
      <c r="L7" s="63">
        <v>0.14000000000000001</v>
      </c>
      <c r="M7" s="90" t="s">
        <v>4</v>
      </c>
      <c r="N7" s="90" t="s">
        <v>4</v>
      </c>
      <c r="O7" s="114" t="s">
        <v>19</v>
      </c>
      <c r="P7" s="45"/>
    </row>
    <row r="8" spans="1:58" ht="35.25" customHeight="1" x14ac:dyDescent="0.25">
      <c r="B8" s="73"/>
      <c r="C8" s="102"/>
      <c r="D8" s="34"/>
      <c r="E8" s="4" t="s">
        <v>31</v>
      </c>
      <c r="F8" s="24" t="s">
        <v>35</v>
      </c>
      <c r="G8" s="70"/>
      <c r="H8" s="76"/>
      <c r="I8" s="76"/>
      <c r="J8" s="76"/>
      <c r="K8" s="88"/>
      <c r="L8" s="64"/>
      <c r="M8" s="91"/>
      <c r="N8" s="91"/>
      <c r="O8" s="115"/>
      <c r="P8" s="46"/>
    </row>
    <row r="9" spans="1:58" ht="35.25" customHeight="1" x14ac:dyDescent="0.25">
      <c r="B9" s="74"/>
      <c r="C9" s="103"/>
      <c r="D9" s="35"/>
      <c r="E9" s="4" t="s">
        <v>32</v>
      </c>
      <c r="F9" s="24" t="s">
        <v>6</v>
      </c>
      <c r="G9" s="71"/>
      <c r="H9" s="77"/>
      <c r="I9" s="77"/>
      <c r="J9" s="77"/>
      <c r="K9" s="89"/>
      <c r="L9" s="65"/>
      <c r="M9" s="92"/>
      <c r="N9" s="92"/>
      <c r="O9" s="116"/>
      <c r="P9" s="47"/>
    </row>
    <row r="10" spans="1:58" ht="53.25" customHeight="1" x14ac:dyDescent="0.25">
      <c r="B10" s="72">
        <v>2</v>
      </c>
      <c r="C10" s="101" t="s">
        <v>10</v>
      </c>
      <c r="D10" s="39" t="s">
        <v>289</v>
      </c>
      <c r="E10" s="4" t="s">
        <v>276</v>
      </c>
      <c r="F10" s="24" t="s">
        <v>33</v>
      </c>
      <c r="G10" s="69" t="s">
        <v>292</v>
      </c>
      <c r="H10" s="75" t="s">
        <v>4</v>
      </c>
      <c r="I10" s="75">
        <v>0</v>
      </c>
      <c r="J10" s="78" t="s">
        <v>293</v>
      </c>
      <c r="K10" s="81" t="s">
        <v>368</v>
      </c>
      <c r="L10" s="63" t="s">
        <v>369</v>
      </c>
      <c r="M10" s="63" t="s">
        <v>4</v>
      </c>
      <c r="N10" s="63" t="s">
        <v>219</v>
      </c>
      <c r="O10" s="114" t="s">
        <v>244</v>
      </c>
      <c r="P10" s="45" t="s">
        <v>370</v>
      </c>
    </row>
    <row r="11" spans="1:58" ht="49.5" customHeight="1" x14ac:dyDescent="0.25">
      <c r="B11" s="73"/>
      <c r="C11" s="102"/>
      <c r="D11" s="40" t="s">
        <v>31</v>
      </c>
      <c r="E11" s="4" t="s">
        <v>31</v>
      </c>
      <c r="F11" s="24" t="s">
        <v>33</v>
      </c>
      <c r="G11" s="70"/>
      <c r="H11" s="76"/>
      <c r="I11" s="76"/>
      <c r="J11" s="79"/>
      <c r="K11" s="88"/>
      <c r="L11" s="64"/>
      <c r="M11" s="64"/>
      <c r="N11" s="64"/>
      <c r="O11" s="115"/>
      <c r="P11" s="46"/>
    </row>
    <row r="12" spans="1:58" ht="61.5" customHeight="1" x14ac:dyDescent="0.25">
      <c r="B12" s="74"/>
      <c r="C12" s="103"/>
      <c r="D12" s="41" t="s">
        <v>32</v>
      </c>
      <c r="E12" s="4" t="s">
        <v>32</v>
      </c>
      <c r="F12" s="24" t="s">
        <v>6</v>
      </c>
      <c r="G12" s="71"/>
      <c r="H12" s="77"/>
      <c r="I12" s="77"/>
      <c r="J12" s="80"/>
      <c r="K12" s="89"/>
      <c r="L12" s="65"/>
      <c r="M12" s="65"/>
      <c r="N12" s="65"/>
      <c r="O12" s="116"/>
      <c r="P12" s="47"/>
    </row>
    <row r="13" spans="1:58" ht="33.75" customHeight="1" x14ac:dyDescent="0.25">
      <c r="B13" s="72">
        <v>3</v>
      </c>
      <c r="C13" s="36" t="s">
        <v>34</v>
      </c>
      <c r="D13" s="33"/>
      <c r="E13" s="4" t="s">
        <v>276</v>
      </c>
      <c r="F13" s="24" t="s">
        <v>35</v>
      </c>
      <c r="G13" s="69" t="s">
        <v>36</v>
      </c>
      <c r="H13" s="78" t="s">
        <v>375</v>
      </c>
      <c r="I13" s="75" t="s">
        <v>4</v>
      </c>
      <c r="J13" s="75" t="s">
        <v>4</v>
      </c>
      <c r="K13" s="84" t="s">
        <v>374</v>
      </c>
      <c r="L13" s="63" t="s">
        <v>4</v>
      </c>
      <c r="M13" s="90" t="s">
        <v>4</v>
      </c>
      <c r="N13" s="90" t="s">
        <v>4</v>
      </c>
      <c r="O13" s="114" t="s">
        <v>243</v>
      </c>
      <c r="P13" s="117" t="s">
        <v>242</v>
      </c>
    </row>
    <row r="14" spans="1:58" ht="33.75" customHeight="1" x14ac:dyDescent="0.25">
      <c r="B14" s="73"/>
      <c r="C14" s="37"/>
      <c r="D14" s="34" t="s">
        <v>31</v>
      </c>
      <c r="E14" s="4" t="s">
        <v>31</v>
      </c>
      <c r="F14" s="24" t="s">
        <v>35</v>
      </c>
      <c r="G14" s="70"/>
      <c r="H14" s="79"/>
      <c r="I14" s="76"/>
      <c r="J14" s="76"/>
      <c r="K14" s="85"/>
      <c r="L14" s="64"/>
      <c r="M14" s="91"/>
      <c r="N14" s="91"/>
      <c r="O14" s="115"/>
      <c r="P14" s="118"/>
    </row>
    <row r="15" spans="1:58" ht="141.75" customHeight="1" x14ac:dyDescent="0.25">
      <c r="B15" s="74"/>
      <c r="C15" s="38"/>
      <c r="D15" s="35" t="s">
        <v>32</v>
      </c>
      <c r="E15" s="4" t="s">
        <v>32</v>
      </c>
      <c r="F15" s="24" t="s">
        <v>35</v>
      </c>
      <c r="G15" s="71"/>
      <c r="H15" s="80"/>
      <c r="I15" s="77"/>
      <c r="J15" s="77"/>
      <c r="K15" s="86"/>
      <c r="L15" s="65"/>
      <c r="M15" s="92"/>
      <c r="N15" s="92"/>
      <c r="O15" s="116"/>
      <c r="P15" s="119"/>
    </row>
    <row r="16" spans="1:58" ht="30.75" customHeight="1" x14ac:dyDescent="0.25">
      <c r="B16" s="72">
        <v>4</v>
      </c>
      <c r="C16" s="36" t="s">
        <v>20</v>
      </c>
      <c r="D16" s="39" t="s">
        <v>290</v>
      </c>
      <c r="E16" s="4" t="s">
        <v>276</v>
      </c>
      <c r="F16" s="24" t="s">
        <v>35</v>
      </c>
      <c r="G16" s="69" t="s">
        <v>223</v>
      </c>
      <c r="H16" s="75" t="s">
        <v>28</v>
      </c>
      <c r="I16" s="75" t="s">
        <v>27</v>
      </c>
      <c r="J16" s="75" t="s">
        <v>4</v>
      </c>
      <c r="K16" s="84" t="s">
        <v>372</v>
      </c>
      <c r="L16" s="84" t="s">
        <v>373</v>
      </c>
      <c r="M16" s="84" t="s">
        <v>224</v>
      </c>
      <c r="N16" s="63" t="s">
        <v>219</v>
      </c>
      <c r="O16" s="114" t="s">
        <v>225</v>
      </c>
      <c r="P16" s="45"/>
    </row>
    <row r="17" spans="2:46" ht="30.75" customHeight="1" x14ac:dyDescent="0.25">
      <c r="B17" s="73"/>
      <c r="C17" s="37"/>
      <c r="D17" s="40" t="s">
        <v>31</v>
      </c>
      <c r="E17" s="4" t="s">
        <v>31</v>
      </c>
      <c r="F17" s="24" t="s">
        <v>35</v>
      </c>
      <c r="G17" s="70"/>
      <c r="H17" s="76"/>
      <c r="I17" s="76"/>
      <c r="J17" s="76"/>
      <c r="K17" s="85"/>
      <c r="L17" s="85"/>
      <c r="M17" s="85"/>
      <c r="N17" s="64"/>
      <c r="O17" s="116"/>
      <c r="P17" s="46"/>
    </row>
    <row r="18" spans="2:46" ht="58.5" customHeight="1" x14ac:dyDescent="0.25">
      <c r="B18" s="74"/>
      <c r="C18" s="38"/>
      <c r="D18" s="41" t="s">
        <v>32</v>
      </c>
      <c r="E18" s="4" t="s">
        <v>32</v>
      </c>
      <c r="F18" s="24" t="s">
        <v>6</v>
      </c>
      <c r="G18" s="71"/>
      <c r="H18" s="77"/>
      <c r="I18" s="77"/>
      <c r="J18" s="77"/>
      <c r="K18" s="86"/>
      <c r="L18" s="86"/>
      <c r="M18" s="86"/>
      <c r="N18" s="65"/>
      <c r="O18" s="23" t="s">
        <v>25</v>
      </c>
      <c r="P18" s="47"/>
      <c r="AS18" s="23"/>
      <c r="AT18" s="23"/>
    </row>
    <row r="19" spans="2:46" ht="93" customHeight="1" x14ac:dyDescent="0.25">
      <c r="B19" s="72">
        <v>5</v>
      </c>
      <c r="C19" s="36" t="s">
        <v>17</v>
      </c>
      <c r="D19" s="33"/>
      <c r="E19" s="4" t="s">
        <v>276</v>
      </c>
      <c r="F19" s="69" t="s">
        <v>7</v>
      </c>
      <c r="G19" s="69" t="s">
        <v>37</v>
      </c>
      <c r="H19" s="75" t="s">
        <v>28</v>
      </c>
      <c r="I19" s="75" t="s">
        <v>27</v>
      </c>
      <c r="J19" s="78" t="s">
        <v>4</v>
      </c>
      <c r="K19" s="27" t="s">
        <v>38</v>
      </c>
      <c r="L19" s="93" t="s">
        <v>39</v>
      </c>
      <c r="M19" s="94"/>
      <c r="N19" s="95" t="s">
        <v>219</v>
      </c>
      <c r="O19" s="114" t="s">
        <v>18</v>
      </c>
      <c r="P19" s="45"/>
    </row>
    <row r="20" spans="2:46" ht="105" customHeight="1" x14ac:dyDescent="0.25">
      <c r="B20" s="73"/>
      <c r="C20" s="37"/>
      <c r="D20" s="34" t="s">
        <v>31</v>
      </c>
      <c r="E20" s="4" t="s">
        <v>31</v>
      </c>
      <c r="F20" s="70"/>
      <c r="G20" s="70"/>
      <c r="H20" s="76"/>
      <c r="I20" s="76"/>
      <c r="J20" s="79"/>
      <c r="K20" s="27" t="s">
        <v>40</v>
      </c>
      <c r="L20" s="93" t="s">
        <v>41</v>
      </c>
      <c r="M20" s="94"/>
      <c r="N20" s="96"/>
      <c r="O20" s="115"/>
      <c r="P20" s="46"/>
    </row>
    <row r="21" spans="2:46" ht="93" customHeight="1" x14ac:dyDescent="0.25">
      <c r="B21" s="74"/>
      <c r="C21" s="38"/>
      <c r="D21" s="35" t="s">
        <v>32</v>
      </c>
      <c r="E21" s="4" t="s">
        <v>32</v>
      </c>
      <c r="F21" s="71"/>
      <c r="G21" s="71"/>
      <c r="H21" s="77"/>
      <c r="I21" s="77"/>
      <c r="J21" s="80"/>
      <c r="K21" s="27" t="s">
        <v>42</v>
      </c>
      <c r="L21" s="93" t="s">
        <v>43</v>
      </c>
      <c r="M21" s="94"/>
      <c r="N21" s="97"/>
      <c r="O21" s="116"/>
      <c r="P21" s="47"/>
    </row>
    <row r="22" spans="2:46" ht="93" customHeight="1" x14ac:dyDescent="0.25">
      <c r="B22" s="72">
        <v>6</v>
      </c>
      <c r="C22" s="36" t="s">
        <v>284</v>
      </c>
      <c r="D22" s="33" t="s">
        <v>142</v>
      </c>
      <c r="E22" s="4" t="s">
        <v>276</v>
      </c>
      <c r="F22" s="69" t="s">
        <v>7</v>
      </c>
      <c r="G22" s="69" t="s">
        <v>285</v>
      </c>
      <c r="H22" s="75" t="s">
        <v>236</v>
      </c>
      <c r="I22" s="75" t="s">
        <v>237</v>
      </c>
      <c r="J22" s="78" t="s">
        <v>4</v>
      </c>
      <c r="K22" s="84" t="s">
        <v>286</v>
      </c>
      <c r="L22" s="32" t="s">
        <v>4</v>
      </c>
      <c r="M22" s="32" t="s">
        <v>4</v>
      </c>
      <c r="N22" s="30"/>
      <c r="O22" s="114" t="s">
        <v>287</v>
      </c>
      <c r="P22" s="31"/>
    </row>
    <row r="23" spans="2:46" ht="93" customHeight="1" x14ac:dyDescent="0.25">
      <c r="B23" s="73"/>
      <c r="C23" s="37"/>
      <c r="D23" s="34"/>
      <c r="E23" s="4" t="s">
        <v>31</v>
      </c>
      <c r="F23" s="70"/>
      <c r="G23" s="70"/>
      <c r="H23" s="76"/>
      <c r="I23" s="76"/>
      <c r="J23" s="79"/>
      <c r="K23" s="85"/>
      <c r="L23" s="32" t="s">
        <v>4</v>
      </c>
      <c r="M23" s="32" t="s">
        <v>4</v>
      </c>
      <c r="N23" s="30"/>
      <c r="O23" s="115"/>
      <c r="P23" s="31"/>
    </row>
    <row r="24" spans="2:46" ht="93" customHeight="1" x14ac:dyDescent="0.25">
      <c r="B24" s="74"/>
      <c r="C24" s="38"/>
      <c r="D24" s="35"/>
      <c r="E24" s="4" t="s">
        <v>32</v>
      </c>
      <c r="F24" s="71"/>
      <c r="G24" s="71"/>
      <c r="H24" s="77"/>
      <c r="I24" s="77"/>
      <c r="J24" s="80"/>
      <c r="K24" s="86"/>
      <c r="L24" s="32" t="s">
        <v>4</v>
      </c>
      <c r="M24" s="32" t="s">
        <v>4</v>
      </c>
      <c r="N24" s="30"/>
      <c r="O24" s="116"/>
      <c r="P24" s="31"/>
    </row>
    <row r="25" spans="2:46" s="14" customFormat="1" ht="84" customHeight="1" x14ac:dyDescent="0.25">
      <c r="B25" s="72">
        <v>7</v>
      </c>
      <c r="C25" s="36" t="s">
        <v>228</v>
      </c>
      <c r="D25" s="33" t="s">
        <v>150</v>
      </c>
      <c r="E25" s="13" t="s">
        <v>276</v>
      </c>
      <c r="F25" s="48" t="s">
        <v>6</v>
      </c>
      <c r="G25" s="48" t="s">
        <v>279</v>
      </c>
      <c r="H25" s="51" t="s">
        <v>28</v>
      </c>
      <c r="I25" s="51" t="s">
        <v>28</v>
      </c>
      <c r="J25" s="54" t="s">
        <v>4</v>
      </c>
      <c r="K25" s="57" t="s">
        <v>230</v>
      </c>
      <c r="L25" s="60" t="s">
        <v>4</v>
      </c>
      <c r="M25" s="60" t="s">
        <v>4</v>
      </c>
      <c r="N25" s="60" t="s">
        <v>229</v>
      </c>
      <c r="O25" s="42" t="s">
        <v>231</v>
      </c>
      <c r="P25" s="45"/>
    </row>
    <row r="26" spans="2:46" s="14" customFormat="1" ht="74.25" customHeight="1" x14ac:dyDescent="0.25">
      <c r="B26" s="73"/>
      <c r="C26" s="37"/>
      <c r="D26" s="34"/>
      <c r="E26" s="13" t="s">
        <v>31</v>
      </c>
      <c r="F26" s="49"/>
      <c r="G26" s="49"/>
      <c r="H26" s="52"/>
      <c r="I26" s="52"/>
      <c r="J26" s="55"/>
      <c r="K26" s="58"/>
      <c r="L26" s="61"/>
      <c r="M26" s="61"/>
      <c r="N26" s="61"/>
      <c r="O26" s="43"/>
      <c r="P26" s="46"/>
    </row>
    <row r="27" spans="2:46" s="14" customFormat="1" ht="84" customHeight="1" x14ac:dyDescent="0.25">
      <c r="B27" s="74"/>
      <c r="C27" s="38"/>
      <c r="D27" s="35"/>
      <c r="E27" s="13" t="s">
        <v>32</v>
      </c>
      <c r="F27" s="50"/>
      <c r="G27" s="50"/>
      <c r="H27" s="53"/>
      <c r="I27" s="53"/>
      <c r="J27" s="56"/>
      <c r="K27" s="59"/>
      <c r="L27" s="62"/>
      <c r="M27" s="62"/>
      <c r="N27" s="62"/>
      <c r="O27" s="44"/>
      <c r="P27" s="47"/>
    </row>
    <row r="28" spans="2:46" s="14" customFormat="1" ht="103.5" customHeight="1" x14ac:dyDescent="0.25">
      <c r="B28" s="72">
        <v>8</v>
      </c>
      <c r="C28" s="36" t="s">
        <v>274</v>
      </c>
      <c r="D28" s="39" t="s">
        <v>275</v>
      </c>
      <c r="E28" s="13" t="s">
        <v>276</v>
      </c>
      <c r="F28" s="48" t="s">
        <v>371</v>
      </c>
      <c r="G28" s="48" t="s">
        <v>278</v>
      </c>
      <c r="H28" s="51" t="s">
        <v>4</v>
      </c>
      <c r="I28" s="51" t="s">
        <v>280</v>
      </c>
      <c r="J28" s="54" t="s">
        <v>4</v>
      </c>
      <c r="K28" s="57" t="s">
        <v>281</v>
      </c>
      <c r="L28" s="60" t="s">
        <v>282</v>
      </c>
      <c r="M28" s="60" t="s">
        <v>4</v>
      </c>
      <c r="N28" s="60" t="s">
        <v>283</v>
      </c>
      <c r="O28" s="42" t="s">
        <v>277</v>
      </c>
      <c r="P28" s="45"/>
    </row>
    <row r="29" spans="2:46" s="14" customFormat="1" ht="103.5" customHeight="1" x14ac:dyDescent="0.25">
      <c r="B29" s="73"/>
      <c r="C29" s="37"/>
      <c r="D29" s="40"/>
      <c r="E29" s="13" t="s">
        <v>31</v>
      </c>
      <c r="F29" s="49"/>
      <c r="G29" s="49"/>
      <c r="H29" s="52"/>
      <c r="I29" s="52"/>
      <c r="J29" s="55"/>
      <c r="K29" s="58"/>
      <c r="L29" s="61"/>
      <c r="M29" s="61"/>
      <c r="N29" s="61"/>
      <c r="O29" s="43"/>
      <c r="P29" s="46"/>
    </row>
    <row r="30" spans="2:46" s="14" customFormat="1" ht="103.5" customHeight="1" x14ac:dyDescent="0.25">
      <c r="B30" s="74"/>
      <c r="C30" s="38"/>
      <c r="D30" s="41"/>
      <c r="E30" s="13" t="s">
        <v>32</v>
      </c>
      <c r="F30" s="50"/>
      <c r="G30" s="50"/>
      <c r="H30" s="53"/>
      <c r="I30" s="53"/>
      <c r="J30" s="56"/>
      <c r="K30" s="59"/>
      <c r="L30" s="62"/>
      <c r="M30" s="62"/>
      <c r="N30" s="62"/>
      <c r="O30" s="44"/>
      <c r="P30" s="47"/>
    </row>
    <row r="31" spans="2:46" s="14" customFormat="1" ht="69" customHeight="1" x14ac:dyDescent="0.25">
      <c r="B31" s="72">
        <v>9</v>
      </c>
      <c r="C31" s="36" t="s">
        <v>235</v>
      </c>
      <c r="D31" s="33" t="s">
        <v>211</v>
      </c>
      <c r="E31" s="13" t="s">
        <v>276</v>
      </c>
      <c r="F31" s="25" t="s">
        <v>33</v>
      </c>
      <c r="G31" s="48" t="s">
        <v>238</v>
      </c>
      <c r="H31" s="51" t="s">
        <v>236</v>
      </c>
      <c r="I31" s="51" t="s">
        <v>237</v>
      </c>
      <c r="J31" s="54" t="s">
        <v>4</v>
      </c>
      <c r="K31" s="57" t="s">
        <v>241</v>
      </c>
      <c r="L31" s="60" t="s">
        <v>4</v>
      </c>
      <c r="M31" s="60" t="s">
        <v>4</v>
      </c>
      <c r="N31" s="66" t="s">
        <v>251</v>
      </c>
      <c r="O31" s="42" t="s">
        <v>239</v>
      </c>
      <c r="P31" s="45"/>
    </row>
    <row r="32" spans="2:46" s="14" customFormat="1" ht="69" customHeight="1" x14ac:dyDescent="0.25">
      <c r="B32" s="73"/>
      <c r="C32" s="37"/>
      <c r="D32" s="34" t="s">
        <v>31</v>
      </c>
      <c r="E32" s="13" t="s">
        <v>31</v>
      </c>
      <c r="F32" s="25" t="s">
        <v>33</v>
      </c>
      <c r="G32" s="49"/>
      <c r="H32" s="52"/>
      <c r="I32" s="52"/>
      <c r="J32" s="55"/>
      <c r="K32" s="58"/>
      <c r="L32" s="61"/>
      <c r="M32" s="61"/>
      <c r="N32" s="67"/>
      <c r="O32" s="43"/>
      <c r="P32" s="46"/>
    </row>
    <row r="33" spans="2:16" s="14" customFormat="1" ht="149.25" customHeight="1" x14ac:dyDescent="0.25">
      <c r="B33" s="74"/>
      <c r="C33" s="38"/>
      <c r="D33" s="35" t="s">
        <v>32</v>
      </c>
      <c r="E33" s="13" t="s">
        <v>32</v>
      </c>
      <c r="F33" s="25" t="s">
        <v>33</v>
      </c>
      <c r="G33" s="50"/>
      <c r="H33" s="53"/>
      <c r="I33" s="53"/>
      <c r="J33" s="56"/>
      <c r="K33" s="59"/>
      <c r="L33" s="62"/>
      <c r="M33" s="62"/>
      <c r="N33" s="68"/>
      <c r="O33" s="44"/>
      <c r="P33" s="47"/>
    </row>
    <row r="34" spans="2:16" ht="34.5" customHeight="1" x14ac:dyDescent="0.25">
      <c r="B34" s="72">
        <v>10</v>
      </c>
      <c r="C34" s="36" t="s">
        <v>29</v>
      </c>
      <c r="D34" s="33" t="s">
        <v>103</v>
      </c>
      <c r="E34" s="4" t="s">
        <v>276</v>
      </c>
      <c r="F34" s="69" t="s">
        <v>248</v>
      </c>
      <c r="G34" s="69" t="s">
        <v>37</v>
      </c>
      <c r="H34" s="75" t="s">
        <v>4</v>
      </c>
      <c r="I34" s="75" t="s">
        <v>44</v>
      </c>
      <c r="J34" s="78" t="s">
        <v>4</v>
      </c>
      <c r="K34" s="81" t="s">
        <v>226</v>
      </c>
      <c r="L34" s="63" t="s">
        <v>4</v>
      </c>
      <c r="M34" s="63" t="s">
        <v>4</v>
      </c>
      <c r="N34" s="63" t="s">
        <v>4</v>
      </c>
      <c r="O34" s="42" t="s">
        <v>45</v>
      </c>
      <c r="P34" s="45"/>
    </row>
    <row r="35" spans="2:16" ht="34.5" customHeight="1" x14ac:dyDescent="0.25">
      <c r="B35" s="73"/>
      <c r="C35" s="37"/>
      <c r="D35" s="34" t="s">
        <v>31</v>
      </c>
      <c r="E35" s="4" t="s">
        <v>31</v>
      </c>
      <c r="F35" s="70"/>
      <c r="G35" s="70"/>
      <c r="H35" s="76"/>
      <c r="I35" s="76"/>
      <c r="J35" s="79"/>
      <c r="K35" s="82"/>
      <c r="L35" s="64"/>
      <c r="M35" s="64"/>
      <c r="N35" s="64"/>
      <c r="O35" s="43"/>
      <c r="P35" s="46"/>
    </row>
    <row r="36" spans="2:16" ht="34.5" customHeight="1" x14ac:dyDescent="0.25">
      <c r="B36" s="74"/>
      <c r="C36" s="38"/>
      <c r="D36" s="35" t="s">
        <v>32</v>
      </c>
      <c r="E36" s="4" t="s">
        <v>32</v>
      </c>
      <c r="F36" s="71"/>
      <c r="G36" s="71"/>
      <c r="H36" s="77"/>
      <c r="I36" s="77"/>
      <c r="J36" s="80"/>
      <c r="K36" s="83"/>
      <c r="L36" s="65"/>
      <c r="M36" s="65"/>
      <c r="N36" s="65"/>
      <c r="O36" s="44"/>
      <c r="P36" s="47"/>
    </row>
    <row r="37" spans="2:16" ht="34.5" customHeight="1" x14ac:dyDescent="0.25">
      <c r="B37" s="72">
        <v>11</v>
      </c>
      <c r="C37" s="36" t="s">
        <v>222</v>
      </c>
      <c r="D37" s="33" t="s">
        <v>120</v>
      </c>
      <c r="E37" s="4" t="s">
        <v>276</v>
      </c>
      <c r="F37" s="69" t="s">
        <v>248</v>
      </c>
      <c r="G37" s="69" t="s">
        <v>37</v>
      </c>
      <c r="H37" s="75" t="s">
        <v>4</v>
      </c>
      <c r="I37" s="78" t="s">
        <v>376</v>
      </c>
      <c r="J37" s="78" t="s">
        <v>4</v>
      </c>
      <c r="K37" s="81">
        <v>0</v>
      </c>
      <c r="L37" s="63" t="s">
        <v>4</v>
      </c>
      <c r="M37" s="63" t="s">
        <v>4</v>
      </c>
      <c r="N37" s="63" t="s">
        <v>219</v>
      </c>
      <c r="O37" s="42" t="s">
        <v>246</v>
      </c>
      <c r="P37" s="45" t="s">
        <v>247</v>
      </c>
    </row>
    <row r="38" spans="2:16" ht="34.5" customHeight="1" x14ac:dyDescent="0.25">
      <c r="B38" s="73"/>
      <c r="C38" s="37"/>
      <c r="D38" s="34" t="s">
        <v>31</v>
      </c>
      <c r="E38" s="4" t="s">
        <v>31</v>
      </c>
      <c r="F38" s="70"/>
      <c r="G38" s="70"/>
      <c r="H38" s="76"/>
      <c r="I38" s="79"/>
      <c r="J38" s="79"/>
      <c r="K38" s="82"/>
      <c r="L38" s="64"/>
      <c r="M38" s="64"/>
      <c r="N38" s="64"/>
      <c r="O38" s="43"/>
      <c r="P38" s="46"/>
    </row>
    <row r="39" spans="2:16" ht="41.25" customHeight="1" x14ac:dyDescent="0.25">
      <c r="B39" s="74"/>
      <c r="C39" s="38"/>
      <c r="D39" s="35" t="s">
        <v>32</v>
      </c>
      <c r="E39" s="4" t="s">
        <v>32</v>
      </c>
      <c r="F39" s="71"/>
      <c r="G39" s="71"/>
      <c r="H39" s="77"/>
      <c r="I39" s="80"/>
      <c r="J39" s="80"/>
      <c r="K39" s="83"/>
      <c r="L39" s="65"/>
      <c r="M39" s="65"/>
      <c r="N39" s="65"/>
      <c r="O39" s="44"/>
      <c r="P39" s="47"/>
    </row>
    <row r="40" spans="2:16" ht="34.5" customHeight="1" x14ac:dyDescent="0.25">
      <c r="B40" s="72">
        <v>12</v>
      </c>
      <c r="C40" s="36" t="s">
        <v>46</v>
      </c>
      <c r="D40" s="33" t="s">
        <v>262</v>
      </c>
      <c r="E40" s="4" t="s">
        <v>276</v>
      </c>
      <c r="F40" s="69" t="s">
        <v>248</v>
      </c>
      <c r="G40" s="69" t="s">
        <v>37</v>
      </c>
      <c r="H40" s="75" t="s">
        <v>4</v>
      </c>
      <c r="I40" s="75" t="s">
        <v>44</v>
      </c>
      <c r="J40" s="78" t="s">
        <v>4</v>
      </c>
      <c r="K40" s="81" t="s">
        <v>227</v>
      </c>
      <c r="L40" s="63" t="s">
        <v>4</v>
      </c>
      <c r="M40" s="63" t="s">
        <v>4</v>
      </c>
      <c r="N40" s="63" t="s">
        <v>219</v>
      </c>
      <c r="O40" s="42" t="s">
        <v>221</v>
      </c>
      <c r="P40" s="45"/>
    </row>
    <row r="41" spans="2:16" ht="34.5" customHeight="1" x14ac:dyDescent="0.25">
      <c r="B41" s="73"/>
      <c r="C41" s="37"/>
      <c r="D41" s="34" t="s">
        <v>31</v>
      </c>
      <c r="E41" s="4" t="s">
        <v>31</v>
      </c>
      <c r="F41" s="70"/>
      <c r="G41" s="70"/>
      <c r="H41" s="76"/>
      <c r="I41" s="76"/>
      <c r="J41" s="79"/>
      <c r="K41" s="82"/>
      <c r="L41" s="64"/>
      <c r="M41" s="64"/>
      <c r="N41" s="64"/>
      <c r="O41" s="43"/>
      <c r="P41" s="46"/>
    </row>
    <row r="42" spans="2:16" ht="27" customHeight="1" x14ac:dyDescent="0.25">
      <c r="B42" s="74"/>
      <c r="C42" s="38"/>
      <c r="D42" s="35" t="s">
        <v>32</v>
      </c>
      <c r="E42" s="2" t="s">
        <v>32</v>
      </c>
      <c r="F42" s="71"/>
      <c r="G42" s="71"/>
      <c r="H42" s="77"/>
      <c r="I42" s="77"/>
      <c r="J42" s="80"/>
      <c r="K42" s="83"/>
      <c r="L42" s="65"/>
      <c r="M42" s="65"/>
      <c r="N42" s="65"/>
      <c r="O42" s="44"/>
      <c r="P42" s="47"/>
    </row>
    <row r="43" spans="2:16" ht="139.5" customHeight="1" x14ac:dyDescent="0.25">
      <c r="B43" s="72">
        <v>13</v>
      </c>
      <c r="C43" s="36" t="s">
        <v>215</v>
      </c>
      <c r="D43" s="33" t="s">
        <v>272</v>
      </c>
      <c r="E43" s="4" t="s">
        <v>276</v>
      </c>
      <c r="F43" s="69" t="s">
        <v>248</v>
      </c>
      <c r="G43" s="69" t="s">
        <v>37</v>
      </c>
      <c r="H43" s="75" t="s">
        <v>4</v>
      </c>
      <c r="I43" s="75" t="s">
        <v>217</v>
      </c>
      <c r="J43" s="78" t="s">
        <v>4</v>
      </c>
      <c r="K43" s="81" t="s">
        <v>220</v>
      </c>
      <c r="L43" s="63" t="s">
        <v>4</v>
      </c>
      <c r="M43" s="63" t="s">
        <v>4</v>
      </c>
      <c r="N43" s="75" t="s">
        <v>219</v>
      </c>
      <c r="O43" s="48" t="s">
        <v>216</v>
      </c>
      <c r="P43" s="114"/>
    </row>
    <row r="44" spans="2:16" ht="156" customHeight="1" x14ac:dyDescent="0.25">
      <c r="B44" s="73"/>
      <c r="C44" s="37"/>
      <c r="D44" s="34" t="s">
        <v>31</v>
      </c>
      <c r="E44" s="4" t="s">
        <v>31</v>
      </c>
      <c r="F44" s="70"/>
      <c r="G44" s="70"/>
      <c r="H44" s="76"/>
      <c r="I44" s="76"/>
      <c r="J44" s="79"/>
      <c r="K44" s="82"/>
      <c r="L44" s="64"/>
      <c r="M44" s="64"/>
      <c r="N44" s="76"/>
      <c r="O44" s="49"/>
      <c r="P44" s="115"/>
    </row>
    <row r="45" spans="2:16" ht="160.5" customHeight="1" x14ac:dyDescent="0.25">
      <c r="B45" s="74"/>
      <c r="C45" s="38"/>
      <c r="D45" s="35" t="s">
        <v>32</v>
      </c>
      <c r="E45" s="4" t="s">
        <v>32</v>
      </c>
      <c r="F45" s="71"/>
      <c r="G45" s="71"/>
      <c r="H45" s="77"/>
      <c r="I45" s="77"/>
      <c r="J45" s="80"/>
      <c r="K45" s="83"/>
      <c r="L45" s="65"/>
      <c r="M45" s="65"/>
      <c r="N45" s="77"/>
      <c r="O45" s="50"/>
      <c r="P45" s="116"/>
    </row>
    <row r="46" spans="2:16" ht="34.5" customHeight="1" x14ac:dyDescent="0.25">
      <c r="B46" s="72">
        <v>14</v>
      </c>
      <c r="C46" s="36" t="s">
        <v>232</v>
      </c>
      <c r="D46" s="33" t="s">
        <v>212</v>
      </c>
      <c r="E46" s="4" t="s">
        <v>276</v>
      </c>
      <c r="F46" s="69" t="s">
        <v>248</v>
      </c>
      <c r="G46" s="69" t="s">
        <v>233</v>
      </c>
      <c r="H46" s="75" t="s">
        <v>4</v>
      </c>
      <c r="I46" s="75" t="s">
        <v>217</v>
      </c>
      <c r="J46" s="78" t="s">
        <v>4</v>
      </c>
      <c r="K46" s="81" t="s">
        <v>234</v>
      </c>
      <c r="L46" s="63" t="s">
        <v>4</v>
      </c>
      <c r="M46" s="63" t="s">
        <v>4</v>
      </c>
      <c r="N46" s="63" t="s">
        <v>219</v>
      </c>
      <c r="O46" s="48" t="s">
        <v>249</v>
      </c>
      <c r="P46" s="114"/>
    </row>
    <row r="47" spans="2:16" ht="34.5" customHeight="1" x14ac:dyDescent="0.25">
      <c r="B47" s="73"/>
      <c r="C47" s="37"/>
      <c r="D47" s="34" t="s">
        <v>31</v>
      </c>
      <c r="E47" s="4" t="s">
        <v>31</v>
      </c>
      <c r="F47" s="70"/>
      <c r="G47" s="70"/>
      <c r="H47" s="76"/>
      <c r="I47" s="76"/>
      <c r="J47" s="79"/>
      <c r="K47" s="82"/>
      <c r="L47" s="64"/>
      <c r="M47" s="64"/>
      <c r="N47" s="64"/>
      <c r="O47" s="49"/>
      <c r="P47" s="115"/>
    </row>
    <row r="48" spans="2:16" ht="34.5" customHeight="1" x14ac:dyDescent="0.25">
      <c r="B48" s="74"/>
      <c r="C48" s="38"/>
      <c r="D48" s="35" t="s">
        <v>32</v>
      </c>
      <c r="E48" s="4" t="s">
        <v>32</v>
      </c>
      <c r="F48" s="71"/>
      <c r="G48" s="71"/>
      <c r="H48" s="77"/>
      <c r="I48" s="77"/>
      <c r="J48" s="80"/>
      <c r="K48" s="83"/>
      <c r="L48" s="65"/>
      <c r="M48" s="65"/>
      <c r="N48" s="65"/>
      <c r="O48" s="50"/>
      <c r="P48" s="116"/>
    </row>
    <row r="49" spans="2:16" ht="34.5" customHeight="1" x14ac:dyDescent="0.25">
      <c r="B49" s="72">
        <v>15</v>
      </c>
      <c r="C49" s="36" t="s">
        <v>291</v>
      </c>
      <c r="D49" s="33"/>
      <c r="E49" s="4" t="s">
        <v>276</v>
      </c>
      <c r="F49" s="69" t="s">
        <v>294</v>
      </c>
      <c r="G49" s="69" t="s">
        <v>36</v>
      </c>
      <c r="H49" s="75" t="s">
        <v>295</v>
      </c>
      <c r="I49" s="75" t="s">
        <v>4</v>
      </c>
      <c r="J49" s="78" t="s">
        <v>4</v>
      </c>
      <c r="K49" s="81">
        <v>0.3</v>
      </c>
      <c r="L49" s="63" t="s">
        <v>4</v>
      </c>
      <c r="M49" s="63" t="s">
        <v>4</v>
      </c>
      <c r="N49" s="63" t="s">
        <v>4</v>
      </c>
      <c r="O49" s="48" t="s">
        <v>296</v>
      </c>
      <c r="P49" s="114" t="s">
        <v>297</v>
      </c>
    </row>
    <row r="50" spans="2:16" ht="34.5" customHeight="1" x14ac:dyDescent="0.25">
      <c r="B50" s="73"/>
      <c r="C50" s="37"/>
      <c r="D50" s="34"/>
      <c r="E50" s="4" t="s">
        <v>31</v>
      </c>
      <c r="F50" s="70"/>
      <c r="G50" s="70"/>
      <c r="H50" s="76"/>
      <c r="I50" s="76"/>
      <c r="J50" s="79"/>
      <c r="K50" s="82"/>
      <c r="L50" s="64"/>
      <c r="M50" s="64"/>
      <c r="N50" s="64"/>
      <c r="O50" s="49"/>
      <c r="P50" s="115"/>
    </row>
    <row r="51" spans="2:16" ht="68.25" customHeight="1" x14ac:dyDescent="0.25">
      <c r="B51" s="74"/>
      <c r="C51" s="38"/>
      <c r="D51" s="35"/>
      <c r="E51" s="4" t="s">
        <v>32</v>
      </c>
      <c r="F51" s="71"/>
      <c r="G51" s="71"/>
      <c r="H51" s="77"/>
      <c r="I51" s="77"/>
      <c r="J51" s="80"/>
      <c r="K51" s="83"/>
      <c r="L51" s="65"/>
      <c r="M51" s="65"/>
      <c r="N51" s="65"/>
      <c r="O51" s="50"/>
      <c r="P51" s="116"/>
    </row>
    <row r="52" spans="2:16" s="17" customFormat="1" ht="15" customHeight="1" thickBot="1" x14ac:dyDescent="0.3">
      <c r="B52" s="7"/>
      <c r="C52" s="6"/>
      <c r="D52" s="7"/>
      <c r="E52" s="7"/>
      <c r="F52" s="8"/>
      <c r="G52" s="8"/>
      <c r="H52" s="9"/>
      <c r="I52" s="9"/>
      <c r="J52" s="10"/>
      <c r="K52" s="11"/>
      <c r="L52" s="12"/>
      <c r="M52" s="12"/>
      <c r="N52" s="12"/>
      <c r="O52" s="16"/>
    </row>
    <row r="53" spans="2:16" s="17" customFormat="1" ht="236.25" customHeight="1" x14ac:dyDescent="0.25">
      <c r="B53" s="104" t="s">
        <v>250</v>
      </c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6"/>
    </row>
  </sheetData>
  <mergeCells count="214">
    <mergeCell ref="L49:L51"/>
    <mergeCell ref="M49:M51"/>
    <mergeCell ref="N49:N51"/>
    <mergeCell ref="O49:O51"/>
    <mergeCell ref="P49:P51"/>
    <mergeCell ref="F28:F30"/>
    <mergeCell ref="B49:B51"/>
    <mergeCell ref="C49:C51"/>
    <mergeCell ref="D49:D51"/>
    <mergeCell ref="F49:F51"/>
    <mergeCell ref="G49:G51"/>
    <mergeCell ref="H49:H51"/>
    <mergeCell ref="I49:I51"/>
    <mergeCell ref="J49:J51"/>
    <mergeCell ref="K49:K51"/>
    <mergeCell ref="P13:P15"/>
    <mergeCell ref="P16:P18"/>
    <mergeCell ref="P19:P21"/>
    <mergeCell ref="P25:P27"/>
    <mergeCell ref="P31:P33"/>
    <mergeCell ref="P34:P36"/>
    <mergeCell ref="P37:P39"/>
    <mergeCell ref="P40:P42"/>
    <mergeCell ref="P43:P45"/>
    <mergeCell ref="I43:I45"/>
    <mergeCell ref="J43:J45"/>
    <mergeCell ref="K43:K45"/>
    <mergeCell ref="L43:L45"/>
    <mergeCell ref="M43:M45"/>
    <mergeCell ref="G43:G45"/>
    <mergeCell ref="P46:P48"/>
    <mergeCell ref="C43:C45"/>
    <mergeCell ref="F43:F45"/>
    <mergeCell ref="H43:H45"/>
    <mergeCell ref="N46:N48"/>
    <mergeCell ref="O25:O27"/>
    <mergeCell ref="O5:O6"/>
    <mergeCell ref="O7:O9"/>
    <mergeCell ref="O19:O21"/>
    <mergeCell ref="O34:O36"/>
    <mergeCell ref="O22:O24"/>
    <mergeCell ref="O46:O48"/>
    <mergeCell ref="B31:B33"/>
    <mergeCell ref="C31:C33"/>
    <mergeCell ref="O31:O33"/>
    <mergeCell ref="H31:H33"/>
    <mergeCell ref="I31:I33"/>
    <mergeCell ref="J31:J33"/>
    <mergeCell ref="I46:I48"/>
    <mergeCell ref="J46:J48"/>
    <mergeCell ref="K46:K48"/>
    <mergeCell ref="L46:L48"/>
    <mergeCell ref="M46:M48"/>
    <mergeCell ref="B46:B48"/>
    <mergeCell ref="C46:C48"/>
    <mergeCell ref="F46:F48"/>
    <mergeCell ref="G46:G48"/>
    <mergeCell ref="H46:H48"/>
    <mergeCell ref="B43:B45"/>
    <mergeCell ref="AX5:BF5"/>
    <mergeCell ref="H5:J5"/>
    <mergeCell ref="K5:M5"/>
    <mergeCell ref="C10:C12"/>
    <mergeCell ref="B10:B12"/>
    <mergeCell ref="G10:G12"/>
    <mergeCell ref="K10:K12"/>
    <mergeCell ref="L10:L12"/>
    <mergeCell ref="M10:M12"/>
    <mergeCell ref="O10:O12"/>
    <mergeCell ref="H10:H12"/>
    <mergeCell ref="I10:I12"/>
    <mergeCell ref="N5:N6"/>
    <mergeCell ref="N7:N9"/>
    <mergeCell ref="N10:N12"/>
    <mergeCell ref="P5:P6"/>
    <mergeCell ref="P7:P9"/>
    <mergeCell ref="P10:P12"/>
    <mergeCell ref="D10:D12"/>
    <mergeCell ref="D13:D15"/>
    <mergeCell ref="G34:G36"/>
    <mergeCell ref="H34:H36"/>
    <mergeCell ref="I34:I36"/>
    <mergeCell ref="J34:J36"/>
    <mergeCell ref="L34:L36"/>
    <mergeCell ref="J13:J15"/>
    <mergeCell ref="B53:O53"/>
    <mergeCell ref="C13:C15"/>
    <mergeCell ref="K13:K15"/>
    <mergeCell ref="L13:L15"/>
    <mergeCell ref="M13:M15"/>
    <mergeCell ref="O13:O15"/>
    <mergeCell ref="O43:O45"/>
    <mergeCell ref="N13:N15"/>
    <mergeCell ref="N16:N18"/>
    <mergeCell ref="N19:N21"/>
    <mergeCell ref="N34:N36"/>
    <mergeCell ref="N37:N39"/>
    <mergeCell ref="N40:N42"/>
    <mergeCell ref="N43:N45"/>
    <mergeCell ref="O16:O17"/>
    <mergeCell ref="N25:N27"/>
    <mergeCell ref="B13:B15"/>
    <mergeCell ref="G13:G15"/>
    <mergeCell ref="K16:K18"/>
    <mergeCell ref="G16:G18"/>
    <mergeCell ref="L16:L18"/>
    <mergeCell ref="C16:C18"/>
    <mergeCell ref="B16:B18"/>
    <mergeCell ref="C19:C21"/>
    <mergeCell ref="B19:B21"/>
    <mergeCell ref="F19:F21"/>
    <mergeCell ref="L21:M21"/>
    <mergeCell ref="B5:B6"/>
    <mergeCell ref="C5:C6"/>
    <mergeCell ref="F5:F6"/>
    <mergeCell ref="G5:G6"/>
    <mergeCell ref="D5:D6"/>
    <mergeCell ref="B7:B9"/>
    <mergeCell ref="C7:C9"/>
    <mergeCell ref="G7:G9"/>
    <mergeCell ref="H7:H9"/>
    <mergeCell ref="E5:E6"/>
    <mergeCell ref="D7:D9"/>
    <mergeCell ref="I7:I9"/>
    <mergeCell ref="K7:K9"/>
    <mergeCell ref="L7:L9"/>
    <mergeCell ref="M7:M9"/>
    <mergeCell ref="J7:J9"/>
    <mergeCell ref="I19:I21"/>
    <mergeCell ref="J19:J21"/>
    <mergeCell ref="H13:H15"/>
    <mergeCell ref="I13:I15"/>
    <mergeCell ref="L19:M19"/>
    <mergeCell ref="L20:M20"/>
    <mergeCell ref="M16:M18"/>
    <mergeCell ref="H16:H18"/>
    <mergeCell ref="I16:I18"/>
    <mergeCell ref="J10:J12"/>
    <mergeCell ref="J16:J18"/>
    <mergeCell ref="B25:B27"/>
    <mergeCell ref="C25:C27"/>
    <mergeCell ref="K34:K36"/>
    <mergeCell ref="D16:D18"/>
    <mergeCell ref="D19:D21"/>
    <mergeCell ref="B28:B30"/>
    <mergeCell ref="B22:B24"/>
    <mergeCell ref="C22:C24"/>
    <mergeCell ref="D22:D24"/>
    <mergeCell ref="F22:F24"/>
    <mergeCell ref="G22:G24"/>
    <mergeCell ref="H22:H24"/>
    <mergeCell ref="K22:K24"/>
    <mergeCell ref="I22:I24"/>
    <mergeCell ref="J22:J24"/>
    <mergeCell ref="B34:B36"/>
    <mergeCell ref="C34:C36"/>
    <mergeCell ref="F25:F27"/>
    <mergeCell ref="G25:G27"/>
    <mergeCell ref="H25:H27"/>
    <mergeCell ref="I25:I27"/>
    <mergeCell ref="J25:J27"/>
    <mergeCell ref="J37:J39"/>
    <mergeCell ref="K37:K39"/>
    <mergeCell ref="L37:L39"/>
    <mergeCell ref="M34:M36"/>
    <mergeCell ref="G19:G21"/>
    <mergeCell ref="H19:H21"/>
    <mergeCell ref="K25:K27"/>
    <mergeCell ref="L25:L27"/>
    <mergeCell ref="M25:M27"/>
    <mergeCell ref="D34:D36"/>
    <mergeCell ref="D37:D39"/>
    <mergeCell ref="D40:D42"/>
    <mergeCell ref="B37:B39"/>
    <mergeCell ref="C37:C39"/>
    <mergeCell ref="F37:F39"/>
    <mergeCell ref="G37:G39"/>
    <mergeCell ref="H37:H39"/>
    <mergeCell ref="I37:I39"/>
    <mergeCell ref="B40:B42"/>
    <mergeCell ref="C40:C42"/>
    <mergeCell ref="F40:F42"/>
    <mergeCell ref="G40:G42"/>
    <mergeCell ref="H40:H42"/>
    <mergeCell ref="O40:O42"/>
    <mergeCell ref="I40:I42"/>
    <mergeCell ref="J40:J42"/>
    <mergeCell ref="K40:K42"/>
    <mergeCell ref="L40:L42"/>
    <mergeCell ref="M40:M42"/>
    <mergeCell ref="D43:D45"/>
    <mergeCell ref="D46:D48"/>
    <mergeCell ref="D25:D27"/>
    <mergeCell ref="C28:C30"/>
    <mergeCell ref="D28:D30"/>
    <mergeCell ref="O28:O30"/>
    <mergeCell ref="P28:P30"/>
    <mergeCell ref="G28:G30"/>
    <mergeCell ref="H28:H30"/>
    <mergeCell ref="I28:I30"/>
    <mergeCell ref="J28:J30"/>
    <mergeCell ref="K28:K30"/>
    <mergeCell ref="L28:L30"/>
    <mergeCell ref="M28:M30"/>
    <mergeCell ref="N28:N30"/>
    <mergeCell ref="M37:M39"/>
    <mergeCell ref="O37:O39"/>
    <mergeCell ref="G31:G33"/>
    <mergeCell ref="N31:N33"/>
    <mergeCell ref="L31:L33"/>
    <mergeCell ref="M31:M33"/>
    <mergeCell ref="K31:K33"/>
    <mergeCell ref="F34:F36"/>
    <mergeCell ref="D31:D33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2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6"/>
  <sheetViews>
    <sheetView workbookViewId="0">
      <selection activeCell="C22" sqref="C22"/>
    </sheetView>
  </sheetViews>
  <sheetFormatPr defaultRowHeight="15" x14ac:dyDescent="0.25"/>
  <cols>
    <col min="1" max="1" width="17.5703125" style="3" customWidth="1"/>
    <col min="2" max="2" width="14.140625" bestFit="1" customWidth="1"/>
    <col min="3" max="3" width="49.85546875" bestFit="1" customWidth="1"/>
    <col min="4" max="4" width="19" bestFit="1" customWidth="1"/>
    <col min="5" max="5" width="21" bestFit="1" customWidth="1"/>
    <col min="6" max="6" width="34.28515625" customWidth="1"/>
  </cols>
  <sheetData>
    <row r="1" spans="1:6" ht="31.5" x14ac:dyDescent="0.25">
      <c r="A1" s="15" t="s">
        <v>252</v>
      </c>
      <c r="B1" s="15" t="s">
        <v>47</v>
      </c>
      <c r="C1" s="15" t="s">
        <v>48</v>
      </c>
      <c r="D1" s="15" t="s">
        <v>49</v>
      </c>
      <c r="E1" s="15" t="s">
        <v>50</v>
      </c>
      <c r="F1" s="15" t="s">
        <v>51</v>
      </c>
    </row>
    <row r="2" spans="1:6" x14ac:dyDescent="0.25">
      <c r="A2" s="18" t="s">
        <v>253</v>
      </c>
      <c r="B2" s="18" t="s">
        <v>52</v>
      </c>
      <c r="C2" s="19" t="s">
        <v>53</v>
      </c>
      <c r="D2" s="19" t="s">
        <v>54</v>
      </c>
      <c r="E2" s="19" t="s">
        <v>55</v>
      </c>
      <c r="F2" s="19" t="s">
        <v>56</v>
      </c>
    </row>
    <row r="3" spans="1:6" x14ac:dyDescent="0.25">
      <c r="A3" s="18" t="s">
        <v>253</v>
      </c>
      <c r="B3" s="18" t="s">
        <v>57</v>
      </c>
      <c r="C3" s="19" t="s">
        <v>58</v>
      </c>
      <c r="D3" s="19" t="s">
        <v>54</v>
      </c>
      <c r="E3" s="19" t="s">
        <v>59</v>
      </c>
      <c r="F3" s="19" t="s">
        <v>60</v>
      </c>
    </row>
    <row r="4" spans="1:6" x14ac:dyDescent="0.25">
      <c r="A4" s="18" t="s">
        <v>253</v>
      </c>
      <c r="B4" s="18" t="s">
        <v>61</v>
      </c>
      <c r="C4" s="19" t="s">
        <v>62</v>
      </c>
      <c r="D4" s="19" t="s">
        <v>54</v>
      </c>
      <c r="E4" s="19" t="s">
        <v>55</v>
      </c>
      <c r="F4" s="19" t="s">
        <v>56</v>
      </c>
    </row>
    <row r="5" spans="1:6" x14ac:dyDescent="0.25">
      <c r="A5" s="18" t="s">
        <v>253</v>
      </c>
      <c r="B5" s="18" t="s">
        <v>63</v>
      </c>
      <c r="C5" s="19" t="s">
        <v>64</v>
      </c>
      <c r="D5" s="19" t="s">
        <v>54</v>
      </c>
      <c r="E5" s="19" t="s">
        <v>55</v>
      </c>
      <c r="F5" s="19" t="s">
        <v>56</v>
      </c>
    </row>
    <row r="6" spans="1:6" x14ac:dyDescent="0.25">
      <c r="A6" s="18" t="s">
        <v>253</v>
      </c>
      <c r="B6" s="18" t="s">
        <v>65</v>
      </c>
      <c r="C6" s="19" t="s">
        <v>66</v>
      </c>
      <c r="D6" s="19" t="s">
        <v>54</v>
      </c>
      <c r="E6" s="19" t="s">
        <v>55</v>
      </c>
      <c r="F6" s="19" t="s">
        <v>56</v>
      </c>
    </row>
    <row r="7" spans="1:6" x14ac:dyDescent="0.25">
      <c r="A7" s="18" t="s">
        <v>253</v>
      </c>
      <c r="B7" s="18" t="s">
        <v>67</v>
      </c>
      <c r="C7" s="19" t="s">
        <v>68</v>
      </c>
      <c r="D7" s="19" t="s">
        <v>54</v>
      </c>
      <c r="E7" s="19" t="s">
        <v>59</v>
      </c>
      <c r="F7" s="19" t="s">
        <v>60</v>
      </c>
    </row>
    <row r="8" spans="1:6" x14ac:dyDescent="0.25">
      <c r="A8" s="18" t="s">
        <v>253</v>
      </c>
      <c r="B8" s="18" t="s">
        <v>69</v>
      </c>
      <c r="C8" s="19" t="s">
        <v>70</v>
      </c>
      <c r="D8" s="19" t="s">
        <v>54</v>
      </c>
      <c r="E8" s="19" t="s">
        <v>59</v>
      </c>
      <c r="F8" s="19" t="s">
        <v>60</v>
      </c>
    </row>
    <row r="9" spans="1:6" x14ac:dyDescent="0.25">
      <c r="A9" s="18" t="s">
        <v>253</v>
      </c>
      <c r="B9" s="18" t="s">
        <v>71</v>
      </c>
      <c r="C9" s="19" t="s">
        <v>72</v>
      </c>
      <c r="D9" s="19" t="s">
        <v>54</v>
      </c>
      <c r="E9" s="19" t="s">
        <v>55</v>
      </c>
      <c r="F9" s="19" t="s">
        <v>56</v>
      </c>
    </row>
    <row r="10" spans="1:6" x14ac:dyDescent="0.25">
      <c r="A10" s="18" t="s">
        <v>253</v>
      </c>
      <c r="B10" s="18" t="s">
        <v>73</v>
      </c>
      <c r="C10" s="19" t="s">
        <v>74</v>
      </c>
      <c r="D10" s="19" t="s">
        <v>54</v>
      </c>
      <c r="E10" s="19" t="s">
        <v>55</v>
      </c>
      <c r="F10" s="19" t="s">
        <v>56</v>
      </c>
    </row>
    <row r="11" spans="1:6" x14ac:dyDescent="0.25">
      <c r="A11" s="18" t="s">
        <v>253</v>
      </c>
      <c r="B11" s="18" t="s">
        <v>75</v>
      </c>
      <c r="C11" s="19" t="s">
        <v>76</v>
      </c>
      <c r="D11" s="19" t="s">
        <v>54</v>
      </c>
      <c r="E11" s="19" t="s">
        <v>59</v>
      </c>
      <c r="F11" s="19" t="s">
        <v>60</v>
      </c>
    </row>
    <row r="12" spans="1:6" x14ac:dyDescent="0.25">
      <c r="A12" s="18" t="s">
        <v>254</v>
      </c>
      <c r="B12" s="18" t="s">
        <v>77</v>
      </c>
      <c r="C12" s="19" t="s">
        <v>78</v>
      </c>
      <c r="D12" s="19" t="s">
        <v>54</v>
      </c>
      <c r="E12" s="19" t="s">
        <v>55</v>
      </c>
      <c r="F12" s="19" t="s">
        <v>56</v>
      </c>
    </row>
    <row r="13" spans="1:6" x14ac:dyDescent="0.25">
      <c r="A13" s="18" t="s">
        <v>253</v>
      </c>
      <c r="B13" s="18" t="s">
        <v>79</v>
      </c>
      <c r="C13" s="19" t="s">
        <v>80</v>
      </c>
      <c r="D13" s="19" t="s">
        <v>54</v>
      </c>
      <c r="E13" s="19" t="s">
        <v>55</v>
      </c>
      <c r="F13" s="19" t="s">
        <v>56</v>
      </c>
    </row>
    <row r="14" spans="1:6" x14ac:dyDescent="0.25">
      <c r="A14" s="18" t="s">
        <v>253</v>
      </c>
      <c r="B14" s="18" t="s">
        <v>81</v>
      </c>
      <c r="C14" s="19" t="s">
        <v>82</v>
      </c>
      <c r="D14" s="19" t="s">
        <v>54</v>
      </c>
      <c r="E14" s="19" t="s">
        <v>59</v>
      </c>
      <c r="F14" s="19" t="s">
        <v>60</v>
      </c>
    </row>
    <row r="15" spans="1:6" x14ac:dyDescent="0.25">
      <c r="A15" s="18" t="s">
        <v>253</v>
      </c>
      <c r="B15" s="18" t="s">
        <v>83</v>
      </c>
      <c r="C15" s="19" t="s">
        <v>84</v>
      </c>
      <c r="D15" s="19" t="s">
        <v>54</v>
      </c>
      <c r="E15" s="19" t="s">
        <v>59</v>
      </c>
      <c r="F15" s="19" t="s">
        <v>60</v>
      </c>
    </row>
    <row r="16" spans="1:6" x14ac:dyDescent="0.25">
      <c r="A16" s="18" t="s">
        <v>253</v>
      </c>
      <c r="B16" s="18" t="s">
        <v>85</v>
      </c>
      <c r="C16" s="19" t="s">
        <v>86</v>
      </c>
      <c r="D16" s="19" t="s">
        <v>54</v>
      </c>
      <c r="E16" s="19" t="s">
        <v>55</v>
      </c>
      <c r="F16" s="19" t="s">
        <v>56</v>
      </c>
    </row>
    <row r="17" spans="1:6" x14ac:dyDescent="0.25">
      <c r="A17" s="18" t="s">
        <v>253</v>
      </c>
      <c r="B17" s="18" t="s">
        <v>87</v>
      </c>
      <c r="C17" s="19" t="s">
        <v>88</v>
      </c>
      <c r="D17" s="19" t="s">
        <v>54</v>
      </c>
      <c r="E17" s="19" t="s">
        <v>55</v>
      </c>
      <c r="F17" s="19" t="s">
        <v>56</v>
      </c>
    </row>
    <row r="18" spans="1:6" x14ac:dyDescent="0.25">
      <c r="A18" s="18" t="s">
        <v>253</v>
      </c>
      <c r="B18" s="18" t="s">
        <v>89</v>
      </c>
      <c r="C18" s="19" t="s">
        <v>90</v>
      </c>
      <c r="D18" s="19" t="s">
        <v>54</v>
      </c>
      <c r="E18" s="19" t="s">
        <v>59</v>
      </c>
      <c r="F18" s="19" t="s">
        <v>60</v>
      </c>
    </row>
    <row r="19" spans="1:6" x14ac:dyDescent="0.25">
      <c r="A19" s="18" t="s">
        <v>253</v>
      </c>
      <c r="B19" s="18" t="s">
        <v>91</v>
      </c>
      <c r="C19" s="19" t="s">
        <v>58</v>
      </c>
      <c r="D19" s="19" t="s">
        <v>54</v>
      </c>
      <c r="E19" s="19" t="s">
        <v>59</v>
      </c>
      <c r="F19" s="19" t="s">
        <v>60</v>
      </c>
    </row>
    <row r="20" spans="1:6" x14ac:dyDescent="0.25">
      <c r="A20" s="18" t="s">
        <v>253</v>
      </c>
      <c r="B20" s="18" t="s">
        <v>92</v>
      </c>
      <c r="C20" s="19" t="s">
        <v>58</v>
      </c>
      <c r="D20" s="19" t="s">
        <v>54</v>
      </c>
      <c r="E20" s="19" t="s">
        <v>59</v>
      </c>
      <c r="F20" s="19" t="s">
        <v>60</v>
      </c>
    </row>
    <row r="21" spans="1:6" x14ac:dyDescent="0.25">
      <c r="A21" s="18" t="s">
        <v>253</v>
      </c>
      <c r="B21" s="18" t="s">
        <v>13</v>
      </c>
      <c r="C21" s="19" t="s">
        <v>93</v>
      </c>
      <c r="D21" s="19" t="s">
        <v>54</v>
      </c>
      <c r="E21" s="19" t="s">
        <v>55</v>
      </c>
      <c r="F21" s="19" t="s">
        <v>56</v>
      </c>
    </row>
    <row r="22" spans="1:6" x14ac:dyDescent="0.25">
      <c r="A22" s="18" t="s">
        <v>253</v>
      </c>
      <c r="B22" s="18" t="s">
        <v>94</v>
      </c>
      <c r="C22" s="19" t="s">
        <v>95</v>
      </c>
      <c r="D22" s="19" t="s">
        <v>54</v>
      </c>
      <c r="E22" s="19" t="s">
        <v>55</v>
      </c>
      <c r="F22" s="19" t="s">
        <v>56</v>
      </c>
    </row>
    <row r="23" spans="1:6" x14ac:dyDescent="0.25">
      <c r="A23" s="18" t="s">
        <v>254</v>
      </c>
      <c r="B23" s="18" t="s">
        <v>96</v>
      </c>
      <c r="C23" s="19" t="s">
        <v>97</v>
      </c>
      <c r="D23" s="19" t="s">
        <v>54</v>
      </c>
      <c r="E23" s="19" t="s">
        <v>55</v>
      </c>
      <c r="F23" s="19" t="s">
        <v>56</v>
      </c>
    </row>
    <row r="24" spans="1:6" x14ac:dyDescent="0.25">
      <c r="A24" s="18" t="s">
        <v>253</v>
      </c>
      <c r="B24" s="18" t="s">
        <v>98</v>
      </c>
      <c r="C24" s="19" t="s">
        <v>99</v>
      </c>
      <c r="D24" s="19" t="s">
        <v>54</v>
      </c>
      <c r="E24" s="19" t="s">
        <v>55</v>
      </c>
      <c r="F24" s="19" t="s">
        <v>56</v>
      </c>
    </row>
    <row r="25" spans="1:6" x14ac:dyDescent="0.25">
      <c r="A25" s="18" t="s">
        <v>253</v>
      </c>
      <c r="B25" s="18" t="s">
        <v>14</v>
      </c>
      <c r="C25" s="19" t="s">
        <v>100</v>
      </c>
      <c r="D25" s="19" t="s">
        <v>54</v>
      </c>
      <c r="E25" s="19" t="s">
        <v>55</v>
      </c>
      <c r="F25" s="19" t="s">
        <v>56</v>
      </c>
    </row>
    <row r="26" spans="1:6" x14ac:dyDescent="0.25">
      <c r="A26" s="18" t="s">
        <v>253</v>
      </c>
      <c r="B26" s="18" t="s">
        <v>12</v>
      </c>
      <c r="C26" s="19" t="s">
        <v>62</v>
      </c>
      <c r="D26" s="19" t="s">
        <v>54</v>
      </c>
      <c r="E26" s="19" t="s">
        <v>55</v>
      </c>
      <c r="F26" s="19" t="s">
        <v>56</v>
      </c>
    </row>
    <row r="27" spans="1:6" x14ac:dyDescent="0.25">
      <c r="A27" s="18" t="s">
        <v>253</v>
      </c>
      <c r="B27" s="18" t="s">
        <v>101</v>
      </c>
      <c r="C27" s="19" t="s">
        <v>102</v>
      </c>
      <c r="D27" s="19" t="s">
        <v>54</v>
      </c>
      <c r="E27" s="19" t="s">
        <v>59</v>
      </c>
      <c r="F27" s="19" t="s">
        <v>60</v>
      </c>
    </row>
    <row r="28" spans="1:6" x14ac:dyDescent="0.25">
      <c r="A28" s="18" t="s">
        <v>253</v>
      </c>
      <c r="B28" s="18" t="s">
        <v>103</v>
      </c>
      <c r="C28" s="19" t="s">
        <v>104</v>
      </c>
      <c r="D28" s="19" t="s">
        <v>54</v>
      </c>
      <c r="E28" s="19" t="s">
        <v>59</v>
      </c>
      <c r="F28" s="19" t="s">
        <v>60</v>
      </c>
    </row>
    <row r="29" spans="1:6" x14ac:dyDescent="0.25">
      <c r="A29" s="18" t="s">
        <v>253</v>
      </c>
      <c r="B29" s="18" t="s">
        <v>105</v>
      </c>
      <c r="C29" s="19" t="s">
        <v>106</v>
      </c>
      <c r="D29" s="19" t="s">
        <v>54</v>
      </c>
      <c r="E29" s="19" t="s">
        <v>55</v>
      </c>
      <c r="F29" s="19" t="s">
        <v>56</v>
      </c>
    </row>
    <row r="30" spans="1:6" x14ac:dyDescent="0.25">
      <c r="A30" s="18" t="s">
        <v>253</v>
      </c>
      <c r="B30" s="18" t="s">
        <v>107</v>
      </c>
      <c r="C30" s="19" t="s">
        <v>64</v>
      </c>
      <c r="D30" s="19" t="s">
        <v>54</v>
      </c>
      <c r="E30" s="19" t="s">
        <v>55</v>
      </c>
      <c r="F30" s="19" t="s">
        <v>56</v>
      </c>
    </row>
    <row r="31" spans="1:6" x14ac:dyDescent="0.25">
      <c r="A31" s="18" t="s">
        <v>254</v>
      </c>
      <c r="B31" s="18" t="s">
        <v>255</v>
      </c>
      <c r="C31" s="19" t="s">
        <v>256</v>
      </c>
      <c r="D31" s="19" t="s">
        <v>54</v>
      </c>
      <c r="E31" s="19" t="s">
        <v>59</v>
      </c>
      <c r="F31" s="19" t="s">
        <v>60</v>
      </c>
    </row>
    <row r="32" spans="1:6" x14ac:dyDescent="0.25">
      <c r="A32" s="18" t="s">
        <v>253</v>
      </c>
      <c r="B32" s="18" t="s">
        <v>108</v>
      </c>
      <c r="C32" s="19" t="s">
        <v>109</v>
      </c>
      <c r="D32" s="19" t="s">
        <v>54</v>
      </c>
      <c r="E32" s="19" t="s">
        <v>55</v>
      </c>
      <c r="F32" s="19" t="s">
        <v>56</v>
      </c>
    </row>
    <row r="33" spans="1:6" x14ac:dyDescent="0.25">
      <c r="A33" s="18" t="s">
        <v>253</v>
      </c>
      <c r="B33" s="18" t="s">
        <v>110</v>
      </c>
      <c r="C33" s="19" t="s">
        <v>66</v>
      </c>
      <c r="D33" s="19" t="s">
        <v>54</v>
      </c>
      <c r="E33" s="19" t="s">
        <v>55</v>
      </c>
      <c r="F33" s="19" t="s">
        <v>56</v>
      </c>
    </row>
    <row r="34" spans="1:6" x14ac:dyDescent="0.25">
      <c r="A34" s="18" t="s">
        <v>254</v>
      </c>
      <c r="B34" s="18" t="s">
        <v>111</v>
      </c>
      <c r="C34" s="19" t="s">
        <v>112</v>
      </c>
      <c r="D34" s="19" t="s">
        <v>54</v>
      </c>
      <c r="E34" s="19" t="s">
        <v>55</v>
      </c>
      <c r="F34" s="19" t="s">
        <v>56</v>
      </c>
    </row>
    <row r="35" spans="1:6" x14ac:dyDescent="0.25">
      <c r="A35" s="18" t="s">
        <v>253</v>
      </c>
      <c r="B35" s="18" t="s">
        <v>113</v>
      </c>
      <c r="C35" s="19" t="s">
        <v>114</v>
      </c>
      <c r="D35" s="19" t="s">
        <v>54</v>
      </c>
      <c r="E35" s="19" t="s">
        <v>59</v>
      </c>
      <c r="F35" s="19" t="s">
        <v>60</v>
      </c>
    </row>
    <row r="36" spans="1:6" x14ac:dyDescent="0.25">
      <c r="A36" s="18" t="s">
        <v>253</v>
      </c>
      <c r="B36" s="18" t="s">
        <v>115</v>
      </c>
      <c r="C36" s="19" t="s">
        <v>68</v>
      </c>
      <c r="D36" s="19" t="s">
        <v>54</v>
      </c>
      <c r="E36" s="19" t="s">
        <v>59</v>
      </c>
      <c r="F36" s="19" t="s">
        <v>60</v>
      </c>
    </row>
    <row r="37" spans="1:6" x14ac:dyDescent="0.25">
      <c r="A37" s="18" t="s">
        <v>253</v>
      </c>
      <c r="B37" s="18" t="s">
        <v>11</v>
      </c>
      <c r="C37" s="19" t="s">
        <v>70</v>
      </c>
      <c r="D37" s="19" t="s">
        <v>54</v>
      </c>
      <c r="E37" s="19" t="s">
        <v>59</v>
      </c>
      <c r="F37" s="19" t="s">
        <v>60</v>
      </c>
    </row>
    <row r="38" spans="1:6" x14ac:dyDescent="0.25">
      <c r="A38" s="18" t="s">
        <v>253</v>
      </c>
      <c r="B38" s="18" t="s">
        <v>116</v>
      </c>
      <c r="C38" s="19" t="s">
        <v>117</v>
      </c>
      <c r="D38" s="19" t="s">
        <v>54</v>
      </c>
      <c r="E38" s="19" t="s">
        <v>59</v>
      </c>
      <c r="F38" s="19" t="s">
        <v>60</v>
      </c>
    </row>
    <row r="39" spans="1:6" x14ac:dyDescent="0.25">
      <c r="A39" s="18" t="s">
        <v>253</v>
      </c>
      <c r="B39" s="18" t="s">
        <v>118</v>
      </c>
      <c r="C39" s="19" t="s">
        <v>119</v>
      </c>
      <c r="D39" s="19" t="s">
        <v>54</v>
      </c>
      <c r="E39" s="19" t="s">
        <v>55</v>
      </c>
      <c r="F39" s="19" t="s">
        <v>56</v>
      </c>
    </row>
    <row r="40" spans="1:6" x14ac:dyDescent="0.25">
      <c r="A40" s="18" t="s">
        <v>253</v>
      </c>
      <c r="B40" s="18" t="s">
        <v>120</v>
      </c>
      <c r="C40" s="19" t="s">
        <v>121</v>
      </c>
      <c r="D40" s="19" t="s">
        <v>54</v>
      </c>
      <c r="E40" s="19" t="s">
        <v>59</v>
      </c>
      <c r="F40" s="19" t="s">
        <v>60</v>
      </c>
    </row>
    <row r="41" spans="1:6" x14ac:dyDescent="0.25">
      <c r="A41" s="18" t="s">
        <v>253</v>
      </c>
      <c r="B41" s="18" t="s">
        <v>122</v>
      </c>
      <c r="C41" s="19" t="s">
        <v>123</v>
      </c>
      <c r="D41" s="19" t="s">
        <v>54</v>
      </c>
      <c r="E41" s="19" t="s">
        <v>124</v>
      </c>
      <c r="F41" s="19" t="s">
        <v>125</v>
      </c>
    </row>
    <row r="42" spans="1:6" x14ac:dyDescent="0.25">
      <c r="A42" s="18" t="s">
        <v>253</v>
      </c>
      <c r="B42" s="18" t="s">
        <v>126</v>
      </c>
      <c r="C42" s="19" t="s">
        <v>127</v>
      </c>
      <c r="D42" s="19" t="s">
        <v>54</v>
      </c>
      <c r="E42" s="19" t="s">
        <v>124</v>
      </c>
      <c r="F42" s="19" t="s">
        <v>125</v>
      </c>
    </row>
    <row r="43" spans="1:6" x14ac:dyDescent="0.25">
      <c r="A43" s="18" t="s">
        <v>253</v>
      </c>
      <c r="B43" s="18" t="s">
        <v>128</v>
      </c>
      <c r="C43" s="19" t="s">
        <v>129</v>
      </c>
      <c r="D43" s="19" t="s">
        <v>54</v>
      </c>
      <c r="E43" s="19" t="s">
        <v>59</v>
      </c>
      <c r="F43" s="19" t="s">
        <v>60</v>
      </c>
    </row>
    <row r="44" spans="1:6" x14ac:dyDescent="0.25">
      <c r="A44" s="18" t="s">
        <v>253</v>
      </c>
      <c r="B44" s="18" t="s">
        <v>130</v>
      </c>
      <c r="C44" s="19" t="s">
        <v>131</v>
      </c>
      <c r="D44" s="19" t="s">
        <v>54</v>
      </c>
      <c r="E44" s="19" t="s">
        <v>59</v>
      </c>
      <c r="F44" s="19" t="s">
        <v>60</v>
      </c>
    </row>
    <row r="45" spans="1:6" x14ac:dyDescent="0.25">
      <c r="A45" s="18" t="s">
        <v>253</v>
      </c>
      <c r="B45" s="18" t="s">
        <v>132</v>
      </c>
      <c r="C45" s="19" t="s">
        <v>133</v>
      </c>
      <c r="D45" s="19" t="s">
        <v>54</v>
      </c>
      <c r="E45" s="19" t="s">
        <v>124</v>
      </c>
      <c r="F45" s="19" t="s">
        <v>125</v>
      </c>
    </row>
    <row r="46" spans="1:6" x14ac:dyDescent="0.25">
      <c r="A46" s="18" t="s">
        <v>253</v>
      </c>
      <c r="B46" s="18" t="s">
        <v>134</v>
      </c>
      <c r="C46" s="19" t="s">
        <v>135</v>
      </c>
      <c r="D46" s="19" t="s">
        <v>54</v>
      </c>
      <c r="E46" s="19" t="s">
        <v>124</v>
      </c>
      <c r="F46" s="19" t="s">
        <v>125</v>
      </c>
    </row>
    <row r="47" spans="1:6" x14ac:dyDescent="0.25">
      <c r="A47" s="18" t="s">
        <v>253</v>
      </c>
      <c r="B47" s="18" t="s">
        <v>211</v>
      </c>
      <c r="C47" s="19" t="s">
        <v>257</v>
      </c>
      <c r="D47" s="19" t="s">
        <v>54</v>
      </c>
      <c r="E47" s="19" t="s">
        <v>59</v>
      </c>
      <c r="F47" s="19" t="s">
        <v>60</v>
      </c>
    </row>
    <row r="48" spans="1:6" x14ac:dyDescent="0.25">
      <c r="A48" s="18" t="s">
        <v>253</v>
      </c>
      <c r="B48" s="18" t="s">
        <v>136</v>
      </c>
      <c r="C48" s="19" t="s">
        <v>137</v>
      </c>
      <c r="D48" s="19" t="s">
        <v>54</v>
      </c>
      <c r="E48" s="19" t="s">
        <v>124</v>
      </c>
      <c r="F48" s="19" t="s">
        <v>125</v>
      </c>
    </row>
    <row r="49" spans="1:6" x14ac:dyDescent="0.25">
      <c r="A49" s="18" t="s">
        <v>254</v>
      </c>
      <c r="B49" s="18" t="s">
        <v>138</v>
      </c>
      <c r="C49" s="19" t="s">
        <v>139</v>
      </c>
      <c r="D49" s="19" t="s">
        <v>54</v>
      </c>
      <c r="E49" s="19" t="s">
        <v>55</v>
      </c>
      <c r="F49" s="19" t="s">
        <v>56</v>
      </c>
    </row>
    <row r="50" spans="1:6" x14ac:dyDescent="0.25">
      <c r="A50" s="18" t="s">
        <v>253</v>
      </c>
      <c r="B50" s="18" t="s">
        <v>140</v>
      </c>
      <c r="C50" s="19" t="s">
        <v>141</v>
      </c>
      <c r="D50" s="19" t="s">
        <v>54</v>
      </c>
      <c r="E50" s="19" t="s">
        <v>59</v>
      </c>
      <c r="F50" s="19" t="s">
        <v>60</v>
      </c>
    </row>
    <row r="51" spans="1:6" x14ac:dyDescent="0.25">
      <c r="A51" s="18" t="s">
        <v>253</v>
      </c>
      <c r="B51" s="18" t="s">
        <v>258</v>
      </c>
      <c r="C51" s="19" t="s">
        <v>259</v>
      </c>
      <c r="D51" s="19" t="s">
        <v>54</v>
      </c>
      <c r="E51" s="19" t="s">
        <v>59</v>
      </c>
      <c r="F51" s="19" t="s">
        <v>60</v>
      </c>
    </row>
    <row r="52" spans="1:6" x14ac:dyDescent="0.25">
      <c r="A52" s="18" t="s">
        <v>253</v>
      </c>
      <c r="B52" s="18" t="s">
        <v>142</v>
      </c>
      <c r="C52" s="19" t="s">
        <v>143</v>
      </c>
      <c r="D52" s="19" t="s">
        <v>54</v>
      </c>
      <c r="E52" s="19" t="s">
        <v>55</v>
      </c>
      <c r="F52" s="19" t="s">
        <v>56</v>
      </c>
    </row>
    <row r="53" spans="1:6" x14ac:dyDescent="0.25">
      <c r="A53" s="18" t="s">
        <v>253</v>
      </c>
      <c r="B53" s="18" t="s">
        <v>144</v>
      </c>
      <c r="C53" s="19" t="s">
        <v>145</v>
      </c>
      <c r="D53" s="19" t="s">
        <v>54</v>
      </c>
      <c r="E53" s="19" t="s">
        <v>59</v>
      </c>
      <c r="F53" s="19" t="s">
        <v>60</v>
      </c>
    </row>
    <row r="54" spans="1:6" x14ac:dyDescent="0.25">
      <c r="A54" s="18" t="s">
        <v>254</v>
      </c>
      <c r="B54" s="18" t="s">
        <v>146</v>
      </c>
      <c r="C54" s="19" t="s">
        <v>147</v>
      </c>
      <c r="D54" s="19" t="s">
        <v>54</v>
      </c>
      <c r="E54" s="19" t="s">
        <v>148</v>
      </c>
      <c r="F54" s="19" t="s">
        <v>149</v>
      </c>
    </row>
    <row r="55" spans="1:6" x14ac:dyDescent="0.25">
      <c r="A55" s="18" t="s">
        <v>253</v>
      </c>
      <c r="B55" s="18" t="s">
        <v>150</v>
      </c>
      <c r="C55" s="19" t="s">
        <v>151</v>
      </c>
      <c r="D55" s="19" t="s">
        <v>54</v>
      </c>
      <c r="E55" s="19" t="s">
        <v>59</v>
      </c>
      <c r="F55" s="19" t="s">
        <v>60</v>
      </c>
    </row>
    <row r="56" spans="1:6" x14ac:dyDescent="0.25">
      <c r="A56" s="18" t="s">
        <v>253</v>
      </c>
      <c r="B56" s="18" t="s">
        <v>152</v>
      </c>
      <c r="C56" s="19" t="s">
        <v>153</v>
      </c>
      <c r="D56" s="19" t="s">
        <v>54</v>
      </c>
      <c r="E56" s="19" t="s">
        <v>59</v>
      </c>
      <c r="F56" s="19" t="s">
        <v>60</v>
      </c>
    </row>
    <row r="57" spans="1:6" x14ac:dyDescent="0.25">
      <c r="A57" s="18" t="s">
        <v>253</v>
      </c>
      <c r="B57" s="18" t="s">
        <v>154</v>
      </c>
      <c r="C57" s="19" t="s">
        <v>155</v>
      </c>
      <c r="D57" s="19" t="s">
        <v>54</v>
      </c>
      <c r="E57" s="19" t="s">
        <v>55</v>
      </c>
      <c r="F57" s="19" t="s">
        <v>56</v>
      </c>
    </row>
    <row r="58" spans="1:6" x14ac:dyDescent="0.25">
      <c r="A58" s="18" t="s">
        <v>253</v>
      </c>
      <c r="B58" s="18" t="s">
        <v>156</v>
      </c>
      <c r="C58" s="19" t="s">
        <v>157</v>
      </c>
      <c r="D58" s="19" t="s">
        <v>54</v>
      </c>
      <c r="E58" s="19" t="s">
        <v>55</v>
      </c>
      <c r="F58" s="19" t="s">
        <v>56</v>
      </c>
    </row>
    <row r="59" spans="1:6" x14ac:dyDescent="0.25">
      <c r="A59" s="18" t="s">
        <v>253</v>
      </c>
      <c r="B59" s="18" t="s">
        <v>214</v>
      </c>
      <c r="C59" s="19" t="s">
        <v>149</v>
      </c>
      <c r="D59" s="19" t="s">
        <v>54</v>
      </c>
      <c r="E59" s="19" t="s">
        <v>148</v>
      </c>
      <c r="F59" s="19" t="s">
        <v>149</v>
      </c>
    </row>
    <row r="60" spans="1:6" x14ac:dyDescent="0.25">
      <c r="A60" s="18" t="s">
        <v>253</v>
      </c>
      <c r="B60" s="18" t="s">
        <v>158</v>
      </c>
      <c r="C60" s="19" t="s">
        <v>72</v>
      </c>
      <c r="D60" s="19" t="s">
        <v>54</v>
      </c>
      <c r="E60" s="19" t="s">
        <v>55</v>
      </c>
      <c r="F60" s="19" t="s">
        <v>56</v>
      </c>
    </row>
    <row r="61" spans="1:6" x14ac:dyDescent="0.25">
      <c r="A61" s="18" t="s">
        <v>253</v>
      </c>
      <c r="B61" s="18" t="s">
        <v>159</v>
      </c>
      <c r="C61" s="19" t="s">
        <v>74</v>
      </c>
      <c r="D61" s="19" t="s">
        <v>54</v>
      </c>
      <c r="E61" s="19" t="s">
        <v>55</v>
      </c>
      <c r="F61" s="19" t="s">
        <v>56</v>
      </c>
    </row>
    <row r="62" spans="1:6" x14ac:dyDescent="0.25">
      <c r="A62" s="18" t="s">
        <v>253</v>
      </c>
      <c r="B62" s="18" t="s">
        <v>160</v>
      </c>
      <c r="C62" s="19" t="s">
        <v>161</v>
      </c>
      <c r="D62" s="19" t="s">
        <v>54</v>
      </c>
      <c r="E62" s="19" t="s">
        <v>55</v>
      </c>
      <c r="F62" s="19" t="s">
        <v>56</v>
      </c>
    </row>
    <row r="63" spans="1:6" x14ac:dyDescent="0.25">
      <c r="A63" s="18" t="s">
        <v>253</v>
      </c>
      <c r="B63" s="18" t="s">
        <v>260</v>
      </c>
      <c r="C63" s="19" t="s">
        <v>261</v>
      </c>
      <c r="D63" s="19" t="s">
        <v>54</v>
      </c>
      <c r="E63" s="19" t="s">
        <v>59</v>
      </c>
      <c r="F63" s="19" t="s">
        <v>60</v>
      </c>
    </row>
    <row r="64" spans="1:6" x14ac:dyDescent="0.25">
      <c r="A64" s="18" t="s">
        <v>253</v>
      </c>
      <c r="B64" s="18" t="s">
        <v>162</v>
      </c>
      <c r="C64" s="19" t="s">
        <v>76</v>
      </c>
      <c r="D64" s="19" t="s">
        <v>54</v>
      </c>
      <c r="E64" s="19" t="s">
        <v>59</v>
      </c>
      <c r="F64" s="19" t="s">
        <v>60</v>
      </c>
    </row>
    <row r="65" spans="1:6" x14ac:dyDescent="0.25">
      <c r="A65" s="18" t="s">
        <v>253</v>
      </c>
      <c r="B65" s="18" t="s">
        <v>163</v>
      </c>
      <c r="C65" s="19" t="s">
        <v>164</v>
      </c>
      <c r="D65" s="19" t="s">
        <v>54</v>
      </c>
      <c r="E65" s="19" t="s">
        <v>55</v>
      </c>
      <c r="F65" s="19" t="s">
        <v>56</v>
      </c>
    </row>
    <row r="66" spans="1:6" x14ac:dyDescent="0.25">
      <c r="A66" s="18" t="s">
        <v>253</v>
      </c>
      <c r="B66" s="29" t="s">
        <v>262</v>
      </c>
      <c r="C66" s="19" t="s">
        <v>58</v>
      </c>
      <c r="D66" s="19" t="s">
        <v>54</v>
      </c>
      <c r="E66" s="19" t="s">
        <v>59</v>
      </c>
      <c r="F66" s="19" t="s">
        <v>60</v>
      </c>
    </row>
    <row r="67" spans="1:6" x14ac:dyDescent="0.25">
      <c r="A67" s="18" t="s">
        <v>253</v>
      </c>
      <c r="B67" s="18" t="s">
        <v>165</v>
      </c>
      <c r="C67" s="19" t="s">
        <v>78</v>
      </c>
      <c r="D67" s="19" t="s">
        <v>54</v>
      </c>
      <c r="E67" s="19" t="s">
        <v>55</v>
      </c>
      <c r="F67" s="19" t="s">
        <v>56</v>
      </c>
    </row>
    <row r="68" spans="1:6" x14ac:dyDescent="0.25">
      <c r="A68" s="18" t="s">
        <v>253</v>
      </c>
      <c r="B68" s="18" t="s">
        <v>166</v>
      </c>
      <c r="C68" s="19" t="s">
        <v>167</v>
      </c>
      <c r="D68" s="19" t="s">
        <v>54</v>
      </c>
      <c r="E68" s="19" t="s">
        <v>55</v>
      </c>
      <c r="F68" s="19" t="s">
        <v>56</v>
      </c>
    </row>
    <row r="69" spans="1:6" x14ac:dyDescent="0.25">
      <c r="A69" s="18" t="s">
        <v>253</v>
      </c>
      <c r="B69" s="18" t="s">
        <v>168</v>
      </c>
      <c r="C69" s="19" t="s">
        <v>169</v>
      </c>
      <c r="D69" s="19" t="s">
        <v>54</v>
      </c>
      <c r="E69" s="19" t="s">
        <v>59</v>
      </c>
      <c r="F69" s="19" t="s">
        <v>60</v>
      </c>
    </row>
    <row r="70" spans="1:6" x14ac:dyDescent="0.25">
      <c r="A70" s="18" t="s">
        <v>253</v>
      </c>
      <c r="B70" s="18" t="s">
        <v>170</v>
      </c>
      <c r="C70" s="19" t="s">
        <v>169</v>
      </c>
      <c r="D70" s="19" t="s">
        <v>54</v>
      </c>
      <c r="E70" s="19" t="s">
        <v>59</v>
      </c>
      <c r="F70" s="19" t="s">
        <v>60</v>
      </c>
    </row>
    <row r="71" spans="1:6" x14ac:dyDescent="0.25">
      <c r="A71" s="18" t="s">
        <v>253</v>
      </c>
      <c r="B71" s="18" t="s">
        <v>171</v>
      </c>
      <c r="C71" s="19" t="s">
        <v>80</v>
      </c>
      <c r="D71" s="19" t="s">
        <v>54</v>
      </c>
      <c r="E71" s="19" t="s">
        <v>55</v>
      </c>
      <c r="F71" s="19" t="s">
        <v>56</v>
      </c>
    </row>
    <row r="72" spans="1:6" x14ac:dyDescent="0.25">
      <c r="A72" s="18" t="s">
        <v>253</v>
      </c>
      <c r="B72" s="18" t="s">
        <v>263</v>
      </c>
      <c r="C72" s="19" t="s">
        <v>264</v>
      </c>
      <c r="D72" s="19" t="s">
        <v>54</v>
      </c>
      <c r="E72" s="19" t="s">
        <v>55</v>
      </c>
      <c r="F72" s="19" t="s">
        <v>56</v>
      </c>
    </row>
    <row r="73" spans="1:6" x14ac:dyDescent="0.25">
      <c r="A73" s="18" t="s">
        <v>253</v>
      </c>
      <c r="B73" s="18" t="s">
        <v>172</v>
      </c>
      <c r="C73" s="19" t="s">
        <v>173</v>
      </c>
      <c r="D73" s="19" t="s">
        <v>54</v>
      </c>
      <c r="E73" s="19" t="s">
        <v>55</v>
      </c>
      <c r="F73" s="19" t="s">
        <v>56</v>
      </c>
    </row>
    <row r="74" spans="1:6" x14ac:dyDescent="0.25">
      <c r="A74" s="18" t="s">
        <v>253</v>
      </c>
      <c r="B74" s="18" t="s">
        <v>174</v>
      </c>
      <c r="C74" s="19" t="s">
        <v>175</v>
      </c>
      <c r="D74" s="19" t="s">
        <v>54</v>
      </c>
      <c r="E74" s="19" t="s">
        <v>55</v>
      </c>
      <c r="F74" s="19" t="s">
        <v>56</v>
      </c>
    </row>
    <row r="75" spans="1:6" x14ac:dyDescent="0.25">
      <c r="A75" s="18" t="s">
        <v>253</v>
      </c>
      <c r="B75" s="18" t="s">
        <v>176</v>
      </c>
      <c r="C75" s="19" t="s">
        <v>177</v>
      </c>
      <c r="D75" s="19" t="s">
        <v>54</v>
      </c>
      <c r="E75" s="19" t="s">
        <v>55</v>
      </c>
      <c r="F75" s="19" t="s">
        <v>56</v>
      </c>
    </row>
    <row r="76" spans="1:6" x14ac:dyDescent="0.25">
      <c r="A76" s="20" t="s">
        <v>254</v>
      </c>
      <c r="B76" s="18" t="s">
        <v>178</v>
      </c>
      <c r="C76" s="19" t="s">
        <v>179</v>
      </c>
      <c r="D76" s="19" t="s">
        <v>54</v>
      </c>
      <c r="E76" s="19" t="s">
        <v>55</v>
      </c>
      <c r="F76" s="19" t="s">
        <v>56</v>
      </c>
    </row>
    <row r="77" spans="1:6" x14ac:dyDescent="0.25">
      <c r="A77" s="18" t="s">
        <v>253</v>
      </c>
      <c r="B77" s="18" t="s">
        <v>180</v>
      </c>
      <c r="C77" s="19" t="s">
        <v>181</v>
      </c>
      <c r="D77" s="19" t="s">
        <v>54</v>
      </c>
      <c r="E77" s="19" t="s">
        <v>59</v>
      </c>
      <c r="F77" s="19" t="s">
        <v>60</v>
      </c>
    </row>
    <row r="78" spans="1:6" x14ac:dyDescent="0.25">
      <c r="A78" s="20" t="s">
        <v>254</v>
      </c>
      <c r="B78" s="18" t="s">
        <v>182</v>
      </c>
      <c r="C78" s="19" t="s">
        <v>183</v>
      </c>
      <c r="D78" s="19" t="s">
        <v>54</v>
      </c>
      <c r="E78" s="19" t="s">
        <v>55</v>
      </c>
      <c r="F78" s="19" t="s">
        <v>56</v>
      </c>
    </row>
    <row r="79" spans="1:6" x14ac:dyDescent="0.25">
      <c r="A79" s="18" t="s">
        <v>253</v>
      </c>
      <c r="B79" s="18" t="s">
        <v>184</v>
      </c>
      <c r="C79" s="19" t="s">
        <v>185</v>
      </c>
      <c r="D79" s="19" t="s">
        <v>54</v>
      </c>
      <c r="E79" s="19" t="s">
        <v>55</v>
      </c>
      <c r="F79" s="19" t="s">
        <v>56</v>
      </c>
    </row>
    <row r="80" spans="1:6" x14ac:dyDescent="0.25">
      <c r="A80" s="18" t="s">
        <v>253</v>
      </c>
      <c r="B80" s="18" t="s">
        <v>265</v>
      </c>
      <c r="C80" s="19" t="s">
        <v>266</v>
      </c>
      <c r="D80" s="19" t="s">
        <v>54</v>
      </c>
      <c r="E80" s="19" t="s">
        <v>59</v>
      </c>
      <c r="F80" s="19" t="s">
        <v>60</v>
      </c>
    </row>
    <row r="81" spans="1:6" x14ac:dyDescent="0.25">
      <c r="A81" s="18" t="s">
        <v>253</v>
      </c>
      <c r="B81" s="18" t="s">
        <v>186</v>
      </c>
      <c r="C81" s="19" t="s">
        <v>145</v>
      </c>
      <c r="D81" s="19" t="s">
        <v>54</v>
      </c>
      <c r="E81" s="19" t="s">
        <v>59</v>
      </c>
      <c r="F81" s="19" t="s">
        <v>60</v>
      </c>
    </row>
    <row r="82" spans="1:6" x14ac:dyDescent="0.25">
      <c r="A82" s="18" t="s">
        <v>253</v>
      </c>
      <c r="B82" s="18" t="s">
        <v>187</v>
      </c>
      <c r="C82" s="19" t="s">
        <v>145</v>
      </c>
      <c r="D82" s="19" t="s">
        <v>54</v>
      </c>
      <c r="E82" s="19" t="s">
        <v>59</v>
      </c>
      <c r="F82" s="19" t="s">
        <v>60</v>
      </c>
    </row>
    <row r="83" spans="1:6" x14ac:dyDescent="0.25">
      <c r="A83" s="18" t="s">
        <v>253</v>
      </c>
      <c r="B83" s="18" t="s">
        <v>188</v>
      </c>
      <c r="C83" s="19" t="s">
        <v>189</v>
      </c>
      <c r="D83" s="19" t="s">
        <v>54</v>
      </c>
      <c r="E83" s="19" t="s">
        <v>148</v>
      </c>
      <c r="F83" s="19" t="s">
        <v>149</v>
      </c>
    </row>
    <row r="84" spans="1:6" x14ac:dyDescent="0.25">
      <c r="A84" s="18" t="s">
        <v>253</v>
      </c>
      <c r="B84" s="18" t="s">
        <v>190</v>
      </c>
      <c r="C84" s="19" t="s">
        <v>191</v>
      </c>
      <c r="D84" s="19" t="s">
        <v>54</v>
      </c>
      <c r="E84" s="19" t="s">
        <v>55</v>
      </c>
      <c r="F84" s="19" t="s">
        <v>56</v>
      </c>
    </row>
    <row r="85" spans="1:6" x14ac:dyDescent="0.25">
      <c r="A85" s="18" t="s">
        <v>253</v>
      </c>
      <c r="B85" s="18" t="s">
        <v>192</v>
      </c>
      <c r="C85" s="19" t="s">
        <v>193</v>
      </c>
      <c r="D85" s="19" t="s">
        <v>54</v>
      </c>
      <c r="E85" s="19" t="s">
        <v>55</v>
      </c>
      <c r="F85" s="19" t="s">
        <v>56</v>
      </c>
    </row>
    <row r="86" spans="1:6" x14ac:dyDescent="0.25">
      <c r="A86" s="18" t="s">
        <v>253</v>
      </c>
      <c r="B86" s="18" t="s">
        <v>194</v>
      </c>
      <c r="C86" s="19" t="s">
        <v>157</v>
      </c>
      <c r="D86" s="19" t="s">
        <v>54</v>
      </c>
      <c r="E86" s="19" t="s">
        <v>55</v>
      </c>
      <c r="F86" s="19" t="s">
        <v>56</v>
      </c>
    </row>
    <row r="87" spans="1:6" x14ac:dyDescent="0.25">
      <c r="A87" s="18" t="s">
        <v>253</v>
      </c>
      <c r="B87" s="18" t="s">
        <v>195</v>
      </c>
      <c r="C87" s="19" t="s">
        <v>82</v>
      </c>
      <c r="D87" s="19" t="s">
        <v>54</v>
      </c>
      <c r="E87" s="19" t="s">
        <v>59</v>
      </c>
      <c r="F87" s="19" t="s">
        <v>60</v>
      </c>
    </row>
    <row r="88" spans="1:6" x14ac:dyDescent="0.25">
      <c r="A88" s="18" t="s">
        <v>253</v>
      </c>
      <c r="B88" s="18" t="s">
        <v>196</v>
      </c>
      <c r="C88" s="19" t="s">
        <v>84</v>
      </c>
      <c r="D88" s="19" t="s">
        <v>54</v>
      </c>
      <c r="E88" s="19" t="s">
        <v>59</v>
      </c>
      <c r="F88" s="19" t="s">
        <v>60</v>
      </c>
    </row>
    <row r="89" spans="1:6" x14ac:dyDescent="0.25">
      <c r="A89" s="18" t="s">
        <v>253</v>
      </c>
      <c r="B89" s="18" t="s">
        <v>197</v>
      </c>
      <c r="C89" s="19" t="s">
        <v>198</v>
      </c>
      <c r="D89" s="19" t="s">
        <v>54</v>
      </c>
      <c r="E89" s="19" t="s">
        <v>59</v>
      </c>
      <c r="F89" s="19" t="s">
        <v>60</v>
      </c>
    </row>
    <row r="90" spans="1:6" x14ac:dyDescent="0.25">
      <c r="A90" s="18" t="s">
        <v>253</v>
      </c>
      <c r="B90" s="18" t="s">
        <v>199</v>
      </c>
      <c r="C90" s="19" t="s">
        <v>86</v>
      </c>
      <c r="D90" s="19" t="s">
        <v>54</v>
      </c>
      <c r="E90" s="19" t="s">
        <v>55</v>
      </c>
      <c r="F90" s="19" t="s">
        <v>56</v>
      </c>
    </row>
    <row r="91" spans="1:6" x14ac:dyDescent="0.25">
      <c r="A91" s="18" t="s">
        <v>253</v>
      </c>
      <c r="B91" s="29" t="s">
        <v>267</v>
      </c>
      <c r="C91" s="19" t="s">
        <v>82</v>
      </c>
      <c r="D91" s="19" t="s">
        <v>54</v>
      </c>
      <c r="E91" s="19" t="s">
        <v>59</v>
      </c>
      <c r="F91" s="19" t="s">
        <v>60</v>
      </c>
    </row>
    <row r="92" spans="1:6" x14ac:dyDescent="0.25">
      <c r="A92" s="18" t="s">
        <v>253</v>
      </c>
      <c r="B92" s="18" t="s">
        <v>200</v>
      </c>
      <c r="C92" s="19" t="s">
        <v>201</v>
      </c>
      <c r="D92" s="19" t="s">
        <v>54</v>
      </c>
      <c r="E92" s="19" t="s">
        <v>59</v>
      </c>
      <c r="F92" s="19" t="s">
        <v>60</v>
      </c>
    </row>
    <row r="93" spans="1:6" x14ac:dyDescent="0.25">
      <c r="A93" s="18" t="s">
        <v>253</v>
      </c>
      <c r="B93" s="18" t="s">
        <v>202</v>
      </c>
      <c r="C93" s="19" t="s">
        <v>203</v>
      </c>
      <c r="D93" s="19" t="s">
        <v>54</v>
      </c>
      <c r="E93" s="19" t="s">
        <v>59</v>
      </c>
      <c r="F93" s="19" t="s">
        <v>60</v>
      </c>
    </row>
    <row r="94" spans="1:6" x14ac:dyDescent="0.25">
      <c r="A94" s="18" t="s">
        <v>253</v>
      </c>
      <c r="B94" s="18" t="s">
        <v>204</v>
      </c>
      <c r="C94" s="19" t="s">
        <v>201</v>
      </c>
      <c r="D94" s="19" t="s">
        <v>54</v>
      </c>
      <c r="E94" s="19" t="s">
        <v>59</v>
      </c>
      <c r="F94" s="19" t="s">
        <v>60</v>
      </c>
    </row>
    <row r="95" spans="1:6" x14ac:dyDescent="0.25">
      <c r="A95" s="18" t="s">
        <v>253</v>
      </c>
      <c r="B95" s="18" t="s">
        <v>205</v>
      </c>
      <c r="C95" s="19" t="s">
        <v>206</v>
      </c>
      <c r="D95" s="19" t="s">
        <v>54</v>
      </c>
      <c r="E95" s="19" t="s">
        <v>55</v>
      </c>
      <c r="F95" s="19" t="s">
        <v>56</v>
      </c>
    </row>
    <row r="96" spans="1:6" x14ac:dyDescent="0.25">
      <c r="A96" s="18" t="s">
        <v>253</v>
      </c>
      <c r="B96" s="18" t="s">
        <v>207</v>
      </c>
      <c r="C96" s="19" t="s">
        <v>208</v>
      </c>
      <c r="D96" s="19" t="s">
        <v>54</v>
      </c>
      <c r="E96" s="19" t="s">
        <v>55</v>
      </c>
      <c r="F96" s="19" t="s">
        <v>56</v>
      </c>
    </row>
    <row r="97" spans="1:6" x14ac:dyDescent="0.25">
      <c r="A97" s="18" t="s">
        <v>253</v>
      </c>
      <c r="B97" s="18" t="s">
        <v>209</v>
      </c>
      <c r="C97" s="19" t="s">
        <v>210</v>
      </c>
      <c r="D97" s="19" t="s">
        <v>54</v>
      </c>
      <c r="E97" s="19" t="s">
        <v>55</v>
      </c>
      <c r="F97" s="19" t="s">
        <v>56</v>
      </c>
    </row>
    <row r="98" spans="1:6" x14ac:dyDescent="0.25">
      <c r="A98" s="21" t="s">
        <v>268</v>
      </c>
      <c r="B98" s="18"/>
      <c r="C98" s="19" t="s">
        <v>269</v>
      </c>
      <c r="D98" s="19" t="s">
        <v>54</v>
      </c>
      <c r="E98" s="19" t="s">
        <v>55</v>
      </c>
      <c r="F98" s="19" t="s">
        <v>56</v>
      </c>
    </row>
    <row r="99" spans="1:6" x14ac:dyDescent="0.25">
      <c r="A99" s="21" t="s">
        <v>268</v>
      </c>
      <c r="B99" s="18"/>
      <c r="C99" s="19" t="s">
        <v>270</v>
      </c>
      <c r="D99" s="19" t="s">
        <v>54</v>
      </c>
      <c r="E99" s="19" t="s">
        <v>55</v>
      </c>
      <c r="F99" s="19" t="s">
        <v>56</v>
      </c>
    </row>
    <row r="100" spans="1:6" x14ac:dyDescent="0.25">
      <c r="A100" s="18" t="s">
        <v>253</v>
      </c>
      <c r="B100" s="18" t="s">
        <v>212</v>
      </c>
      <c r="C100" s="19" t="s">
        <v>213</v>
      </c>
      <c r="D100" s="19" t="s">
        <v>54</v>
      </c>
      <c r="E100" s="19" t="s">
        <v>59</v>
      </c>
      <c r="F100" s="19" t="s">
        <v>60</v>
      </c>
    </row>
    <row r="101" spans="1:6" x14ac:dyDescent="0.25">
      <c r="A101" s="18" t="s">
        <v>253</v>
      </c>
      <c r="B101" s="18" t="s">
        <v>272</v>
      </c>
      <c r="C101" s="19" t="s">
        <v>271</v>
      </c>
      <c r="D101" s="19" t="s">
        <v>54</v>
      </c>
      <c r="E101" s="19" t="s">
        <v>59</v>
      </c>
      <c r="F101" s="19" t="s">
        <v>60</v>
      </c>
    </row>
    <row r="102" spans="1:6" ht="120" x14ac:dyDescent="0.25">
      <c r="A102" s="18" t="s">
        <v>253</v>
      </c>
      <c r="B102" s="121" t="s">
        <v>298</v>
      </c>
      <c r="C102" s="19" t="s">
        <v>300</v>
      </c>
      <c r="D102" s="19" t="s">
        <v>54</v>
      </c>
      <c r="E102" s="19"/>
      <c r="F102" s="120" t="s">
        <v>299</v>
      </c>
    </row>
    <row r="103" spans="1:6" x14ac:dyDescent="0.25">
      <c r="A103" s="5"/>
    </row>
    <row r="104" spans="1:6" x14ac:dyDescent="0.25">
      <c r="A104" s="5"/>
    </row>
    <row r="105" spans="1:6" x14ac:dyDescent="0.25">
      <c r="A105" s="5"/>
    </row>
    <row r="106" spans="1:6" x14ac:dyDescent="0.25">
      <c r="A106" s="5"/>
    </row>
    <row r="107" spans="1:6" x14ac:dyDescent="0.25">
      <c r="A107" s="5"/>
    </row>
    <row r="108" spans="1:6" x14ac:dyDescent="0.25">
      <c r="A108" s="5"/>
    </row>
    <row r="109" spans="1:6" x14ac:dyDescent="0.25">
      <c r="A109" s="5"/>
    </row>
    <row r="110" spans="1:6" x14ac:dyDescent="0.25">
      <c r="A110" s="5"/>
    </row>
    <row r="111" spans="1:6" x14ac:dyDescent="0.25">
      <c r="A111" s="5"/>
    </row>
    <row r="112" spans="1:6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</sheetData>
  <dataValidations count="1">
    <dataValidation type="list" allowBlank="1" showInputMessage="1" showErrorMessage="1" sqref="A1:A102" xr:uid="{00000000-0002-0000-0100-000000000000}">
      <formula1>$I$1:$I$3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9FF5C-CD24-4091-AE43-BBEE304CB5D4}">
  <dimension ref="A2:Q31"/>
  <sheetViews>
    <sheetView workbookViewId="0">
      <selection activeCell="J19" sqref="J19"/>
    </sheetView>
  </sheetViews>
  <sheetFormatPr defaultRowHeight="15" x14ac:dyDescent="0.25"/>
  <cols>
    <col min="1" max="1" width="19.5703125" customWidth="1"/>
    <col min="2" max="2" width="45" style="123" customWidth="1"/>
    <col min="3" max="3" width="25.5703125" style="123" hidden="1" customWidth="1"/>
    <col min="4" max="4" width="15.7109375" style="124" hidden="1" customWidth="1"/>
    <col min="5" max="5" width="27.7109375" style="125" hidden="1" customWidth="1"/>
    <col min="6" max="6" width="26.7109375" style="126" hidden="1" customWidth="1"/>
    <col min="7" max="7" width="12.5703125" style="127" customWidth="1"/>
    <col min="8" max="8" width="26.28515625" hidden="1" customWidth="1"/>
    <col min="9" max="9" width="25" hidden="1" customWidth="1"/>
    <col min="10" max="10" width="25" customWidth="1"/>
    <col min="11" max="11" width="19.7109375" hidden="1" customWidth="1"/>
    <col min="12" max="12" width="85.85546875" customWidth="1"/>
    <col min="13" max="13" width="22.42578125" hidden="1" customWidth="1"/>
    <col min="14" max="14" width="65.5703125" bestFit="1" customWidth="1"/>
    <col min="15" max="15" width="33" customWidth="1"/>
    <col min="16" max="16" width="20.7109375" bestFit="1" customWidth="1"/>
  </cols>
  <sheetData>
    <row r="2" spans="1:17" ht="19.5" hidden="1" thickBot="1" x14ac:dyDescent="0.35">
      <c r="E2" s="128"/>
      <c r="F2" s="129" t="s">
        <v>303</v>
      </c>
      <c r="K2" s="130"/>
      <c r="L2" s="131" t="s">
        <v>304</v>
      </c>
    </row>
    <row r="3" spans="1:17" ht="19.5" hidden="1" thickBot="1" x14ac:dyDescent="0.35">
      <c r="E3" s="128"/>
      <c r="I3" s="132" t="s">
        <v>23</v>
      </c>
      <c r="J3" s="133">
        <v>12051.71</v>
      </c>
      <c r="K3" s="134"/>
      <c r="L3" s="135" t="s">
        <v>305</v>
      </c>
      <c r="M3" s="136"/>
    </row>
    <row r="4" spans="1:17" ht="19.5" hidden="1" thickBot="1" x14ac:dyDescent="0.35">
      <c r="I4" s="132" t="s">
        <v>24</v>
      </c>
      <c r="J4" s="133">
        <v>14008.91</v>
      </c>
      <c r="K4" s="137"/>
      <c r="L4" s="135" t="s">
        <v>306</v>
      </c>
      <c r="M4" s="136"/>
    </row>
    <row r="5" spans="1:17" ht="16.5" thickBot="1" x14ac:dyDescent="0.3">
      <c r="B5" s="138">
        <v>46105</v>
      </c>
      <c r="C5" s="139"/>
      <c r="D5" s="139"/>
      <c r="E5" s="140"/>
      <c r="F5" s="141"/>
      <c r="G5" s="142"/>
      <c r="H5" s="123"/>
      <c r="I5" s="123"/>
      <c r="J5" s="123"/>
      <c r="K5" s="123"/>
      <c r="L5" s="123"/>
      <c r="M5" s="123"/>
    </row>
    <row r="6" spans="1:17" ht="32.25" thickBot="1" x14ac:dyDescent="0.3">
      <c r="A6" s="143" t="s">
        <v>8</v>
      </c>
      <c r="B6" s="144" t="s">
        <v>307</v>
      </c>
      <c r="C6" s="144" t="s">
        <v>308</v>
      </c>
      <c r="D6" s="145" t="s">
        <v>309</v>
      </c>
      <c r="E6" s="146" t="s">
        <v>310</v>
      </c>
      <c r="F6" s="147" t="s">
        <v>311</v>
      </c>
      <c r="G6" s="148" t="s">
        <v>312</v>
      </c>
      <c r="H6" s="144" t="s">
        <v>16</v>
      </c>
      <c r="I6" s="144" t="s">
        <v>313</v>
      </c>
      <c r="J6" s="144" t="s">
        <v>314</v>
      </c>
      <c r="K6" s="144" t="s">
        <v>315</v>
      </c>
      <c r="L6" s="149" t="s">
        <v>316</v>
      </c>
      <c r="M6" s="150"/>
      <c r="N6" s="151"/>
      <c r="O6" s="151"/>
      <c r="P6" s="151"/>
      <c r="Q6" s="151"/>
    </row>
    <row r="7" spans="1:17" ht="22.5" x14ac:dyDescent="0.25">
      <c r="A7" s="152" t="s">
        <v>317</v>
      </c>
      <c r="B7" s="153"/>
      <c r="C7" s="153"/>
      <c r="D7" s="153"/>
      <c r="E7" s="153"/>
      <c r="F7" s="153"/>
      <c r="G7" s="153"/>
      <c r="H7" s="153"/>
      <c r="I7" s="153"/>
      <c r="J7" s="153"/>
      <c r="K7" s="153"/>
      <c r="L7" s="154"/>
      <c r="M7" s="155"/>
      <c r="N7" s="151"/>
      <c r="O7" s="151"/>
      <c r="P7" s="151"/>
      <c r="Q7" s="151"/>
    </row>
    <row r="8" spans="1:17" ht="15.75" x14ac:dyDescent="0.25">
      <c r="A8" s="156">
        <v>1</v>
      </c>
      <c r="B8" s="134" t="s">
        <v>318</v>
      </c>
      <c r="C8" s="157" t="s">
        <v>319</v>
      </c>
      <c r="D8" s="158">
        <v>45279</v>
      </c>
      <c r="E8" s="159">
        <v>4000000</v>
      </c>
      <c r="F8" s="159">
        <v>4000000</v>
      </c>
      <c r="G8" s="160" t="s">
        <v>320</v>
      </c>
      <c r="H8" s="161">
        <v>6.1499999999999999E-2</v>
      </c>
      <c r="I8" s="162">
        <v>3551044.9899999998</v>
      </c>
      <c r="J8" s="163">
        <f>+F8-I8</f>
        <v>448955.01000000024</v>
      </c>
      <c r="K8" s="164">
        <v>71</v>
      </c>
      <c r="L8" s="165" t="s">
        <v>321</v>
      </c>
      <c r="M8" s="155" t="s">
        <v>322</v>
      </c>
    </row>
    <row r="9" spans="1:17" ht="47.25" x14ac:dyDescent="0.25">
      <c r="A9" s="156">
        <v>2</v>
      </c>
      <c r="B9" s="134" t="s">
        <v>323</v>
      </c>
      <c r="C9" s="157" t="s">
        <v>324</v>
      </c>
      <c r="D9" s="158">
        <v>45366</v>
      </c>
      <c r="E9" s="159">
        <v>30000000</v>
      </c>
      <c r="F9" s="159">
        <v>381238500000</v>
      </c>
      <c r="G9" s="160" t="s">
        <v>325</v>
      </c>
      <c r="H9" s="161">
        <v>8.5000000000000006E-2</v>
      </c>
      <c r="I9" s="163">
        <v>232697865697.60999</v>
      </c>
      <c r="J9" s="163">
        <f>+F9-I9</f>
        <v>148540634302.39001</v>
      </c>
      <c r="K9" s="164">
        <v>893</v>
      </c>
      <c r="L9" s="166" t="s">
        <v>326</v>
      </c>
      <c r="M9" s="155"/>
      <c r="N9" s="167"/>
      <c r="O9" s="167"/>
      <c r="P9" s="167"/>
      <c r="Q9" s="167"/>
    </row>
    <row r="10" spans="1:17" ht="15.75" x14ac:dyDescent="0.25">
      <c r="A10" s="156">
        <v>3</v>
      </c>
      <c r="B10" s="134" t="s">
        <v>327</v>
      </c>
      <c r="C10" s="157" t="s">
        <v>328</v>
      </c>
      <c r="D10" s="158">
        <v>45678</v>
      </c>
      <c r="E10" s="159">
        <v>8400000</v>
      </c>
      <c r="F10" s="159">
        <v>117879972000</v>
      </c>
      <c r="G10" s="160" t="s">
        <v>325</v>
      </c>
      <c r="H10" s="161" t="s">
        <v>329</v>
      </c>
      <c r="I10" s="163">
        <v>75087166934.369995</v>
      </c>
      <c r="J10" s="163">
        <f>+F10-I10</f>
        <v>42792805065.630005</v>
      </c>
      <c r="K10" s="164">
        <v>131</v>
      </c>
      <c r="L10" s="166" t="s">
        <v>330</v>
      </c>
      <c r="M10" s="155"/>
      <c r="N10" s="167"/>
      <c r="O10" s="167"/>
      <c r="P10" s="167"/>
      <c r="Q10" s="167"/>
    </row>
    <row r="11" spans="1:17" ht="15.75" x14ac:dyDescent="0.25">
      <c r="A11" s="156">
        <v>4</v>
      </c>
      <c r="B11" s="168" t="s">
        <v>331</v>
      </c>
      <c r="C11" s="157" t="s">
        <v>328</v>
      </c>
      <c r="D11" s="158">
        <v>45467</v>
      </c>
      <c r="E11" s="159">
        <v>4300000</v>
      </c>
      <c r="F11" s="159">
        <v>54288274000</v>
      </c>
      <c r="G11" s="160" t="s">
        <v>325</v>
      </c>
      <c r="H11" s="161">
        <v>0.22500000000000001</v>
      </c>
      <c r="I11" s="163"/>
      <c r="J11" s="163">
        <f>F11-I11</f>
        <v>54288274000</v>
      </c>
      <c r="K11" s="164">
        <v>0</v>
      </c>
      <c r="L11" s="165" t="s">
        <v>321</v>
      </c>
      <c r="M11" s="155"/>
      <c r="N11" s="167"/>
      <c r="O11" s="167"/>
      <c r="P11" s="167"/>
      <c r="Q11" s="167"/>
    </row>
    <row r="12" spans="1:17" ht="31.5" x14ac:dyDescent="0.25">
      <c r="A12" s="156">
        <v>5</v>
      </c>
      <c r="B12" s="134" t="s">
        <v>332</v>
      </c>
      <c r="C12" s="157" t="s">
        <v>328</v>
      </c>
      <c r="D12" s="158">
        <v>45603</v>
      </c>
      <c r="E12" s="159">
        <v>20000000</v>
      </c>
      <c r="F12" s="159">
        <v>10200000</v>
      </c>
      <c r="G12" s="160" t="s">
        <v>333</v>
      </c>
      <c r="H12" s="161">
        <v>7.8E-2</v>
      </c>
      <c r="I12" s="163"/>
      <c r="J12" s="163">
        <f t="shared" ref="J12:J17" si="0">F12-I12</f>
        <v>10200000</v>
      </c>
      <c r="K12" s="162">
        <v>0</v>
      </c>
      <c r="L12" s="166" t="s">
        <v>334</v>
      </c>
      <c r="M12" s="155"/>
      <c r="N12" s="167"/>
      <c r="O12" s="167"/>
      <c r="P12" s="167"/>
      <c r="Q12" s="167"/>
    </row>
    <row r="13" spans="1:17" ht="15.75" x14ac:dyDescent="0.25">
      <c r="A13" s="156">
        <v>6</v>
      </c>
      <c r="B13" s="134" t="s">
        <v>332</v>
      </c>
      <c r="C13" s="157" t="s">
        <v>328</v>
      </c>
      <c r="D13" s="158">
        <v>45603</v>
      </c>
      <c r="E13" s="159">
        <v>20000000</v>
      </c>
      <c r="F13" s="159">
        <v>1200000</v>
      </c>
      <c r="G13" s="160" t="s">
        <v>333</v>
      </c>
      <c r="H13" s="161">
        <v>7.8E-2</v>
      </c>
      <c r="I13" s="163"/>
      <c r="J13" s="163">
        <f t="shared" si="0"/>
        <v>1200000</v>
      </c>
      <c r="K13" s="162">
        <v>0</v>
      </c>
      <c r="L13" s="166" t="s">
        <v>335</v>
      </c>
      <c r="M13" s="155"/>
      <c r="N13" s="167"/>
      <c r="O13" s="167"/>
      <c r="P13" s="167"/>
      <c r="Q13" s="167"/>
    </row>
    <row r="14" spans="1:17" ht="15.75" x14ac:dyDescent="0.25">
      <c r="A14" s="156">
        <v>7</v>
      </c>
      <c r="B14" s="134" t="s">
        <v>332</v>
      </c>
      <c r="C14" s="157" t="s">
        <v>328</v>
      </c>
      <c r="D14" s="158">
        <v>45603</v>
      </c>
      <c r="E14" s="159">
        <v>20000000</v>
      </c>
      <c r="F14" s="159">
        <v>600000</v>
      </c>
      <c r="G14" s="160" t="s">
        <v>333</v>
      </c>
      <c r="H14" s="161">
        <v>7.8E-2</v>
      </c>
      <c r="I14" s="163"/>
      <c r="J14" s="163">
        <f t="shared" si="0"/>
        <v>600000</v>
      </c>
      <c r="K14" s="162">
        <v>0</v>
      </c>
      <c r="L14" s="166" t="s">
        <v>336</v>
      </c>
      <c r="M14" s="155"/>
      <c r="N14" s="167"/>
      <c r="O14" s="167"/>
      <c r="P14" s="167"/>
      <c r="Q14" s="167"/>
    </row>
    <row r="15" spans="1:17" ht="15.75" x14ac:dyDescent="0.25">
      <c r="A15" s="156">
        <v>8</v>
      </c>
      <c r="B15" s="134" t="s">
        <v>332</v>
      </c>
      <c r="C15" s="157" t="s">
        <v>328</v>
      </c>
      <c r="D15" s="158">
        <v>45603</v>
      </c>
      <c r="E15" s="159">
        <v>20000000</v>
      </c>
      <c r="F15" s="159">
        <v>7160000</v>
      </c>
      <c r="G15" s="160" t="s">
        <v>333</v>
      </c>
      <c r="H15" s="161">
        <v>7.8E-2</v>
      </c>
      <c r="I15" s="163">
        <v>33141.800000000003</v>
      </c>
      <c r="J15" s="163">
        <f t="shared" si="0"/>
        <v>7126858.2000000002</v>
      </c>
      <c r="K15" s="164">
        <v>1</v>
      </c>
      <c r="L15" s="166" t="s">
        <v>337</v>
      </c>
      <c r="M15" s="155"/>
      <c r="N15" s="167"/>
      <c r="O15" s="167"/>
      <c r="P15" s="167"/>
      <c r="Q15" s="167"/>
    </row>
    <row r="16" spans="1:17" ht="15.75" x14ac:dyDescent="0.25">
      <c r="A16" s="156">
        <v>9</v>
      </c>
      <c r="B16" s="134" t="s">
        <v>332</v>
      </c>
      <c r="C16" s="157" t="s">
        <v>328</v>
      </c>
      <c r="D16" s="158">
        <v>45603</v>
      </c>
      <c r="E16" s="159">
        <v>20000000</v>
      </c>
      <c r="F16" s="159">
        <v>800000</v>
      </c>
      <c r="G16" s="160" t="s">
        <v>333</v>
      </c>
      <c r="H16" s="169">
        <v>7.8E-2</v>
      </c>
      <c r="I16" s="163"/>
      <c r="J16" s="163">
        <f t="shared" si="0"/>
        <v>800000</v>
      </c>
      <c r="K16" s="162">
        <v>0</v>
      </c>
      <c r="L16" s="166" t="s">
        <v>338</v>
      </c>
      <c r="M16" s="155"/>
      <c r="N16" s="167"/>
      <c r="O16" s="167"/>
      <c r="P16" s="167"/>
      <c r="Q16" s="167"/>
    </row>
    <row r="17" spans="1:17" ht="15.75" x14ac:dyDescent="0.25">
      <c r="A17" s="156">
        <v>10</v>
      </c>
      <c r="B17" s="134" t="s">
        <v>332</v>
      </c>
      <c r="C17" s="157" t="s">
        <v>328</v>
      </c>
      <c r="D17" s="158">
        <v>45603</v>
      </c>
      <c r="E17" s="159">
        <v>20000000</v>
      </c>
      <c r="F17" s="159">
        <v>40000</v>
      </c>
      <c r="G17" s="160" t="s">
        <v>333</v>
      </c>
      <c r="H17" s="161">
        <v>7.8E-2</v>
      </c>
      <c r="I17" s="163"/>
      <c r="J17" s="163">
        <f t="shared" si="0"/>
        <v>40000</v>
      </c>
      <c r="K17" s="162">
        <v>0</v>
      </c>
      <c r="L17" s="165" t="s">
        <v>339</v>
      </c>
      <c r="M17" s="155"/>
      <c r="N17" s="167"/>
      <c r="O17" s="167"/>
      <c r="P17" s="167"/>
      <c r="Q17" s="167"/>
    </row>
    <row r="18" spans="1:17" ht="15.75" x14ac:dyDescent="0.25">
      <c r="A18" s="156">
        <v>11</v>
      </c>
      <c r="B18" s="170" t="s">
        <v>340</v>
      </c>
      <c r="C18" s="170" t="s">
        <v>328</v>
      </c>
      <c r="D18" s="171">
        <v>45621</v>
      </c>
      <c r="E18" s="172">
        <v>30000000</v>
      </c>
      <c r="F18" s="172">
        <v>15000000</v>
      </c>
      <c r="G18" s="173" t="s">
        <v>333</v>
      </c>
      <c r="H18" s="174" t="s">
        <v>341</v>
      </c>
      <c r="I18" s="175">
        <v>15158937.460000001</v>
      </c>
      <c r="J18" s="175">
        <f>+F18-I18</f>
        <v>-158937.46000000089</v>
      </c>
      <c r="K18" s="176">
        <v>197</v>
      </c>
      <c r="L18" s="177" t="s">
        <v>321</v>
      </c>
      <c r="M18" s="155"/>
      <c r="N18" s="167"/>
      <c r="O18" s="167"/>
      <c r="P18" s="167"/>
      <c r="Q18" s="167"/>
    </row>
    <row r="19" spans="1:17" ht="63" x14ac:dyDescent="0.25">
      <c r="A19" s="156">
        <v>12</v>
      </c>
      <c r="B19" s="134" t="s">
        <v>342</v>
      </c>
      <c r="C19" s="157" t="s">
        <v>328</v>
      </c>
      <c r="D19" s="158">
        <v>45560</v>
      </c>
      <c r="E19" s="159">
        <v>42000000</v>
      </c>
      <c r="F19" s="159">
        <v>42000000</v>
      </c>
      <c r="G19" s="160" t="s">
        <v>333</v>
      </c>
      <c r="H19" s="161" t="s">
        <v>343</v>
      </c>
      <c r="I19" s="163">
        <v>1180721.74</v>
      </c>
      <c r="J19" s="163">
        <f t="shared" ref="J19:J31" si="1">+F19-I19</f>
        <v>40819278.259999998</v>
      </c>
      <c r="K19" s="164">
        <v>23</v>
      </c>
      <c r="L19" s="166" t="s">
        <v>344</v>
      </c>
      <c r="M19" s="155"/>
      <c r="N19" s="166" t="s">
        <v>345</v>
      </c>
      <c r="O19" s="178"/>
    </row>
    <row r="20" spans="1:17" ht="63" x14ac:dyDescent="0.25">
      <c r="A20" s="156">
        <v>13</v>
      </c>
      <c r="B20" s="137" t="s">
        <v>346</v>
      </c>
      <c r="C20" s="137" t="s">
        <v>347</v>
      </c>
      <c r="D20" s="179">
        <v>45282</v>
      </c>
      <c r="E20" s="180">
        <v>7000000</v>
      </c>
      <c r="F20" s="180">
        <v>7000000</v>
      </c>
      <c r="G20" s="181" t="s">
        <v>333</v>
      </c>
      <c r="H20" s="182">
        <v>7.8E-2</v>
      </c>
      <c r="I20" s="183"/>
      <c r="J20" s="163">
        <f t="shared" si="1"/>
        <v>7000000</v>
      </c>
      <c r="K20" s="184">
        <v>0</v>
      </c>
      <c r="L20" s="166" t="s">
        <v>348</v>
      </c>
      <c r="M20" s="155" t="s">
        <v>322</v>
      </c>
    </row>
    <row r="21" spans="1:17" ht="15.75" x14ac:dyDescent="0.25">
      <c r="A21" s="156">
        <v>14</v>
      </c>
      <c r="B21" s="185" t="s">
        <v>349</v>
      </c>
      <c r="C21" s="137" t="s">
        <v>350</v>
      </c>
      <c r="D21" s="179">
        <v>45803</v>
      </c>
      <c r="E21" s="180">
        <v>25000000</v>
      </c>
      <c r="F21" s="180">
        <v>25000000</v>
      </c>
      <c r="G21" s="181" t="s">
        <v>333</v>
      </c>
      <c r="H21" s="182" t="s">
        <v>351</v>
      </c>
      <c r="I21" s="183">
        <v>15052034.48</v>
      </c>
      <c r="J21" s="163">
        <f t="shared" si="1"/>
        <v>9947965.5199999996</v>
      </c>
      <c r="K21" s="186">
        <v>106</v>
      </c>
      <c r="L21" s="187" t="s">
        <v>352</v>
      </c>
      <c r="M21" s="155"/>
      <c r="N21" s="167"/>
      <c r="O21" s="167"/>
      <c r="P21" s="167"/>
      <c r="Q21" s="167"/>
    </row>
    <row r="22" spans="1:17" ht="225" x14ac:dyDescent="0.25">
      <c r="A22" s="156">
        <v>15</v>
      </c>
      <c r="B22" s="168" t="s">
        <v>353</v>
      </c>
      <c r="C22" s="188" t="s">
        <v>328</v>
      </c>
      <c r="D22" s="189">
        <v>45698</v>
      </c>
      <c r="E22" s="190">
        <v>45500000</v>
      </c>
      <c r="F22" s="190">
        <v>547042860000</v>
      </c>
      <c r="G22" s="160" t="s">
        <v>325</v>
      </c>
      <c r="H22" s="169">
        <v>0.15429999999999999</v>
      </c>
      <c r="I22" s="191">
        <v>152239403911.08997</v>
      </c>
      <c r="J22" s="163">
        <f t="shared" si="1"/>
        <v>394803456088.91003</v>
      </c>
      <c r="K22" s="192">
        <v>484</v>
      </c>
      <c r="L22" s="193" t="s">
        <v>354</v>
      </c>
      <c r="M22" s="155"/>
      <c r="N22" s="167"/>
      <c r="O22" s="167"/>
      <c r="P22" s="167"/>
      <c r="Q22" s="167"/>
    </row>
    <row r="23" spans="1:17" ht="225" x14ac:dyDescent="0.25">
      <c r="A23" s="156">
        <v>16</v>
      </c>
      <c r="B23" s="137" t="s">
        <v>353</v>
      </c>
      <c r="C23" s="137" t="s">
        <v>328</v>
      </c>
      <c r="D23" s="179">
        <v>45698</v>
      </c>
      <c r="E23" s="180">
        <v>19500000</v>
      </c>
      <c r="F23" s="180">
        <v>19500000</v>
      </c>
      <c r="G23" s="181" t="s">
        <v>333</v>
      </c>
      <c r="H23" s="182" t="s">
        <v>351</v>
      </c>
      <c r="I23" s="183"/>
      <c r="J23" s="163">
        <f t="shared" si="1"/>
        <v>19500000</v>
      </c>
      <c r="K23" s="186"/>
      <c r="L23" s="194" t="s">
        <v>355</v>
      </c>
      <c r="M23" s="155"/>
      <c r="N23" s="167"/>
      <c r="O23" s="167"/>
      <c r="P23" s="167"/>
      <c r="Q23" s="167"/>
    </row>
    <row r="24" spans="1:17" ht="15.75" x14ac:dyDescent="0.25">
      <c r="A24" s="156">
        <v>17</v>
      </c>
      <c r="B24" s="170" t="s">
        <v>356</v>
      </c>
      <c r="C24" s="170" t="s">
        <v>328</v>
      </c>
      <c r="D24" s="171">
        <v>46002</v>
      </c>
      <c r="E24" s="172">
        <v>5000000</v>
      </c>
      <c r="F24" s="172">
        <v>5000000</v>
      </c>
      <c r="G24" s="173" t="s">
        <v>333</v>
      </c>
      <c r="H24" s="174" t="s">
        <v>357</v>
      </c>
      <c r="I24" s="175">
        <v>5180328.7700000005</v>
      </c>
      <c r="J24" s="175">
        <f t="shared" si="1"/>
        <v>-180328.77000000048</v>
      </c>
      <c r="K24" s="176">
        <v>78</v>
      </c>
      <c r="L24" s="195" t="s">
        <v>321</v>
      </c>
      <c r="M24" s="196"/>
      <c r="N24" s="197"/>
      <c r="O24" s="197"/>
      <c r="P24" s="197"/>
      <c r="Q24" s="197"/>
    </row>
    <row r="25" spans="1:17" ht="15.75" x14ac:dyDescent="0.25">
      <c r="A25" s="156">
        <v>18</v>
      </c>
      <c r="B25" s="198" t="s">
        <v>358</v>
      </c>
      <c r="C25" s="137" t="s">
        <v>359</v>
      </c>
      <c r="D25" s="199">
        <v>45834</v>
      </c>
      <c r="E25" s="200">
        <v>20000000</v>
      </c>
      <c r="F25" s="200">
        <v>20000000</v>
      </c>
      <c r="G25" s="201" t="s">
        <v>333</v>
      </c>
      <c r="H25" s="202" t="s">
        <v>360</v>
      </c>
      <c r="I25" s="203"/>
      <c r="J25" s="163">
        <f t="shared" si="1"/>
        <v>20000000</v>
      </c>
      <c r="K25" s="204">
        <v>0</v>
      </c>
      <c r="L25" s="187" t="s">
        <v>352</v>
      </c>
      <c r="M25" s="155"/>
      <c r="N25" s="167"/>
      <c r="O25" s="167"/>
      <c r="P25" s="167"/>
      <c r="Q25" s="167"/>
    </row>
    <row r="26" spans="1:17" ht="31.5" x14ac:dyDescent="0.25">
      <c r="A26" s="156">
        <v>19</v>
      </c>
      <c r="B26" s="198" t="s">
        <v>361</v>
      </c>
      <c r="C26" s="137" t="s">
        <v>328</v>
      </c>
      <c r="D26" s="199">
        <v>45474</v>
      </c>
      <c r="E26" s="200">
        <v>500000</v>
      </c>
      <c r="F26" s="200">
        <v>500000</v>
      </c>
      <c r="G26" s="205" t="s">
        <v>320</v>
      </c>
      <c r="H26" s="202">
        <v>7.0000000000000007E-2</v>
      </c>
      <c r="I26" s="203"/>
      <c r="J26" s="163">
        <f t="shared" si="1"/>
        <v>500000</v>
      </c>
      <c r="K26" s="204">
        <v>0</v>
      </c>
      <c r="L26" s="187" t="s">
        <v>321</v>
      </c>
      <c r="M26" s="155"/>
      <c r="N26" s="167"/>
      <c r="O26" s="167"/>
      <c r="P26" s="167"/>
      <c r="Q26" s="167"/>
    </row>
    <row r="27" spans="1:17" ht="31.5" x14ac:dyDescent="0.25">
      <c r="A27" s="156">
        <v>20</v>
      </c>
      <c r="B27" s="198" t="s">
        <v>362</v>
      </c>
      <c r="C27" s="137" t="s">
        <v>324</v>
      </c>
      <c r="D27" s="199">
        <v>45456</v>
      </c>
      <c r="E27" s="200">
        <v>6000000</v>
      </c>
      <c r="F27" s="200">
        <v>6000000</v>
      </c>
      <c r="G27" s="205" t="s">
        <v>320</v>
      </c>
      <c r="H27" s="202">
        <v>7.0000000000000007E-2</v>
      </c>
      <c r="I27" s="203"/>
      <c r="J27" s="163">
        <f t="shared" si="1"/>
        <v>6000000</v>
      </c>
      <c r="K27" s="204">
        <v>0</v>
      </c>
      <c r="L27" s="187" t="s">
        <v>352</v>
      </c>
      <c r="M27" s="155"/>
      <c r="N27" s="167"/>
      <c r="O27" s="167"/>
      <c r="P27" s="167"/>
      <c r="Q27" s="167"/>
    </row>
    <row r="28" spans="1:17" ht="15.75" x14ac:dyDescent="0.25">
      <c r="A28" s="156">
        <v>21</v>
      </c>
      <c r="B28" s="206" t="s">
        <v>363</v>
      </c>
      <c r="C28" s="137" t="s">
        <v>328</v>
      </c>
      <c r="D28" s="199">
        <v>45863</v>
      </c>
      <c r="E28" s="200">
        <v>1000000</v>
      </c>
      <c r="F28" s="200">
        <v>12581730000</v>
      </c>
      <c r="G28" s="181" t="s">
        <v>325</v>
      </c>
      <c r="H28" s="202">
        <v>0.18</v>
      </c>
      <c r="I28" s="203"/>
      <c r="J28" s="163">
        <f t="shared" si="1"/>
        <v>12581730000</v>
      </c>
      <c r="K28" s="204">
        <v>0</v>
      </c>
      <c r="L28" s="187" t="s">
        <v>321</v>
      </c>
      <c r="M28" s="155"/>
      <c r="N28" s="167"/>
      <c r="O28" s="167"/>
      <c r="P28" s="167"/>
      <c r="Q28" s="167"/>
    </row>
    <row r="29" spans="1:17" ht="15.75" x14ac:dyDescent="0.25">
      <c r="A29" s="156">
        <v>22</v>
      </c>
      <c r="B29" s="198" t="s">
        <v>364</v>
      </c>
      <c r="C29" s="137" t="s">
        <v>328</v>
      </c>
      <c r="D29" s="199">
        <v>45399</v>
      </c>
      <c r="E29" s="200">
        <v>10000000</v>
      </c>
      <c r="F29" s="200">
        <v>10000000</v>
      </c>
      <c r="G29" s="181" t="s">
        <v>333</v>
      </c>
      <c r="H29" s="202">
        <v>8.5000000000000006E-2</v>
      </c>
      <c r="I29" s="203"/>
      <c r="J29" s="163">
        <f t="shared" si="1"/>
        <v>10000000</v>
      </c>
      <c r="K29" s="204">
        <v>0</v>
      </c>
      <c r="L29" s="187" t="s">
        <v>352</v>
      </c>
      <c r="M29" s="155"/>
      <c r="N29" s="167"/>
      <c r="O29" s="167"/>
      <c r="P29" s="167"/>
      <c r="Q29" s="167"/>
    </row>
    <row r="30" spans="1:17" ht="15.75" x14ac:dyDescent="0.25">
      <c r="A30" s="156">
        <v>23</v>
      </c>
      <c r="B30" s="137" t="s">
        <v>365</v>
      </c>
      <c r="C30" s="137" t="s">
        <v>328</v>
      </c>
      <c r="D30" s="179">
        <v>45531</v>
      </c>
      <c r="E30" s="207">
        <v>1000000</v>
      </c>
      <c r="F30" s="207">
        <v>1000000</v>
      </c>
      <c r="G30" s="205" t="s">
        <v>320</v>
      </c>
      <c r="H30" s="182">
        <v>7.9699999999999993E-2</v>
      </c>
      <c r="I30" s="183"/>
      <c r="J30" s="163">
        <f t="shared" si="1"/>
        <v>1000000</v>
      </c>
      <c r="K30" s="204">
        <v>0</v>
      </c>
      <c r="L30" s="187" t="s">
        <v>321</v>
      </c>
      <c r="M30" s="155"/>
      <c r="N30" s="167"/>
      <c r="O30" s="167"/>
      <c r="P30" s="167"/>
      <c r="Q30" s="167"/>
    </row>
    <row r="31" spans="1:17" ht="31.5" x14ac:dyDescent="0.25">
      <c r="A31" s="156">
        <v>24</v>
      </c>
      <c r="B31" s="137" t="s">
        <v>366</v>
      </c>
      <c r="C31" s="137" t="s">
        <v>328</v>
      </c>
      <c r="D31" s="179">
        <v>45464</v>
      </c>
      <c r="E31" s="207">
        <v>2500000</v>
      </c>
      <c r="F31" s="207">
        <v>2673750</v>
      </c>
      <c r="G31" s="205" t="s">
        <v>333</v>
      </c>
      <c r="H31" s="208" t="s">
        <v>367</v>
      </c>
      <c r="I31" s="183"/>
      <c r="J31" s="163">
        <f t="shared" si="1"/>
        <v>2673750</v>
      </c>
      <c r="K31" s="204">
        <v>0</v>
      </c>
      <c r="L31" s="187" t="s">
        <v>321</v>
      </c>
      <c r="M31" s="209"/>
      <c r="N31" s="167"/>
      <c r="O31" s="167"/>
      <c r="P31" s="167"/>
      <c r="Q31" s="167"/>
    </row>
  </sheetData>
  <mergeCells count="1">
    <mergeCell ref="A7:L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Продуктовая линейка</vt:lpstr>
      <vt:lpstr>Шифры продуктов</vt:lpstr>
      <vt:lpstr>Остатки по линиям</vt:lpstr>
      <vt:lpstr>'Продуктовая линейка'!Область_печати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Luiza Haydarova</dc:creator>
  <cp:lastModifiedBy>Fariza Asqarova</cp:lastModifiedBy>
  <cp:lastPrinted>2025-12-19T14:47:25Z</cp:lastPrinted>
  <dcterms:created xsi:type="dcterms:W3CDTF">2018-12-21T14:41:57Z</dcterms:created>
  <dcterms:modified xsi:type="dcterms:W3CDTF">2026-03-27T10:03:31Z</dcterms:modified>
</cp:coreProperties>
</file>